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248ff1099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5d5f9ca69dd4c41"/>
    <x:sheet xmlns:r="http://schemas.openxmlformats.org/officeDocument/2006/relationships" name="Variables" sheetId="2" r:id="Ra4baad5f7715495d"/>
    <x:sheet xmlns:r="http://schemas.openxmlformats.org/officeDocument/2006/relationships" name="Incidencias" sheetId="3" r:id="R81ad187f0d3e407e"/>
    <x:sheet xmlns:r="http://schemas.openxmlformats.org/officeDocument/2006/relationships" name="Muestras" sheetId="4" r:id="Rcb3dd94dc4bf482a"/>
    <x:sheet xmlns:r="http://schemas.openxmlformats.org/officeDocument/2006/relationships" name="Graficas" sheetId="5" r:id="R4c123f45b494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6B4D"/>
      <x:name val="Carlito"/>
    </x:font>
    <x:font>
      <x:b/>
      <x:sz val="11"/>
      <x:color rgb="FF9A1C1C"/>
      <x:name val="Carlito"/>
    </x:font>
    <x:font>
      <x:b/>
      <x:sz val="16"/>
      <x:color rgb="FFFFFFFF"/>
      <x:name val="Carlito"/>
    </x:font>
    <x:font>
      <x:b/>
      <x:sz val="11"/>
      <x:color rgb="FF1730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04A"/>
      </x:patternFill>
    </x:fill>
    <x:fill>
      <x:patternFill patternType="solid">
        <x:fgColor rgb="FFE8F4EF"/>
      </x:patternFill>
    </x:fill>
    <x:fill>
      <x:patternFill patternType="solid">
        <x:fgColor rgb="FFFCE9E7"/>
      </x:patternFill>
    </x:fill>
    <x:fill>
      <x:patternFill patternType="solid">
        <x:fgColor rgb="FF102B4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07d62d77a4e27" /><Relationship Type="http://schemas.openxmlformats.org/officeDocument/2006/relationships/theme" Target="/xl/theme/theme1.xml" Id="R1f4c517085d14536" /><Relationship Type="http://schemas.openxmlformats.org/officeDocument/2006/relationships/sharedStrings" Target="/xl/sharedStrings.xml" Id="R341a17c0135643c6" /><Relationship Type="http://schemas.openxmlformats.org/officeDocument/2006/relationships/worksheet" Target="/xl/worksheets/sheet1.xml" Id="Rc5d5f9ca69dd4c41" /><Relationship Type="http://schemas.openxmlformats.org/officeDocument/2006/relationships/worksheet" Target="/xl/worksheets/sheet2.xml" Id="Ra4baad5f7715495d" /><Relationship Type="http://schemas.openxmlformats.org/officeDocument/2006/relationships/worksheet" Target="/xl/worksheets/sheet3.xml" Id="R81ad187f0d3e407e" /><Relationship Type="http://schemas.openxmlformats.org/officeDocument/2006/relationships/worksheet" Target="/xl/worksheets/sheet4.xml" Id="Rcb3dd94dc4bf482a" /><Relationship Type="http://schemas.openxmlformats.org/officeDocument/2006/relationships/worksheet" Target="/xl/worksheets/sheet5.xml" Id="R4c123f45b49448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c0868cd13f43cd" /><Relationship Type="http://schemas.openxmlformats.org/officeDocument/2006/relationships/chart" Target="/xl/drawings/charts/chart2.xml" Id="Rcb5f544c1f9d4c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IMU: roll y pitch durante P-03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Roll (°)</c:v>
          </c:tx>
          <c:marker>
            <c:symbol val="none"/>
          </c:marker>
          <c:cat>
            <c:strRef>
              <c:f>'Graficas'!$A$2:$A$31</c:f>
              <c:strCache>
                <c:ptCount val="0"/>
              </c:strCache>
            </c:strRef>
          </c:cat>
          <c:val>
            <c:numRef>
              <c:f>'Graficas'!$B$2:$B$31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Pitch (°)</c:v>
          </c:tx>
          <c:marker>
            <c:symbol val="none"/>
          </c:marker>
          <c:cat>
            <c:strRef>
              <c:f>'Graficas'!$A$2:$A$31</c:f>
              <c:strCache>
                <c:ptCount val="0"/>
              </c:strCache>
            </c:strRef>
          </c:cat>
          <c:val>
            <c:numRef>
              <c:f>'Graficas'!$C$2:$C$31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Voltaje de batería: lectura PCB (sin referencia externa)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c0868cd13f43cd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5f544c1f9d4c6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21fce90399314817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6" hidden="0" customWidth="1"/>
    <x:col min="3" max="3" width="21" hidden="0" customWidth="1"/>
    <x:col min="4" max="4" width="35" hidden="0" customWidth="1"/>
    <x:col min="5" max="5" width="21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20" t="str">
        <x:v>USV 0067 | PCB A193 — Informe de telemetría inicial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0"/>
      <x:c r="B2" s="20"/>
      <x:c r="C2" s="20"/>
      <x:c r="D2" s="20"/>
      <x:c r="E2" s="20"/>
      <x:c r="F2" s="20"/>
      <x:c r="G2" s="20"/>
      <x:c r="H2" s="20"/>
    </x:row>
    <x:row r="3" ht="23" customHeight="1">
      <x:c r="A3" s="25" t="str">
        <x:v>Registro P-03 · Análisis exploratorio, no acta de aprobación funcional</x:v>
      </x:c>
      <x:c r="B3" s="25"/>
      <x:c r="C3" s="25"/>
      <x:c r="D3" s="25"/>
      <x:c r="E3" s="25"/>
      <x:c r="F3" s="25"/>
      <x:c r="G3" s="25"/>
      <x:c r="H3" s="25"/>
    </x:row>
    <x:row r="5" ht="24" customHeight="1">
      <x:c r="A5" s="4" t="str">
        <x:v>Dato</x:v>
      </x:c>
      <x:c r="B5" s="4" t="str">
        <x:v>Resultado</x:v>
      </x:c>
      <x:c r="C5" s="4" t="str">
        <x:v>Dato</x:v>
      </x:c>
      <x:c r="D5" s="4" t="str">
        <x:v>Resultado</x:v>
      </x:c>
    </x:row>
    <x:row r="6">
      <x:c r="A6" t="str">
        <x:v>Fecha y hora local (UTC−5)</x:v>
      </x:c>
      <x:c r="B6" t="str">
        <x:v>2026-10-19 19:57:19</x:v>
      </x:c>
      <x:c r="C6" t="str">
        <x:v>Fin (UTC−5)</x:v>
      </x:c>
      <x:c r="D6" t="str">
        <x:v>2026-10-19 19:57:34</x:v>
      </x:c>
    </x:row>
    <x:row r="7">
      <x:c r="A7" t="str">
        <x:v>Duración exacta del CSV (s)</x:v>
      </x:c>
      <x:c r="B7" t="n">
        <x:v>14.598</x:v>
      </x:c>
      <x:c r="C7" t="str">
        <x:v>Filas de eventos</x:v>
      </x:c>
      <x:c r="D7" t="n">
        <x:v>1491</x:v>
      </x:c>
    </x:row>
    <x:row r="8">
      <x:c r="A8" t="str">
        <x:v>Variables por UART</x:v>
      </x:c>
      <x:c r="B8" t="n">
        <x:v>52</x:v>
      </x:c>
      <x:c r="C8" t="str">
        <x:v>Actualizaciones por variable</x:v>
      </x:c>
      <x:c r="D8" t="n">
        <x:v>30</x:v>
      </x:c>
    </x:row>
    <x:row r="9">
      <x:c r="A9" t="str">
        <x:v>Velocidad estimada (Hz)</x:v>
      </x:c>
      <x:c r="B9" t="n">
        <x:v>2.06</x:v>
      </x:c>
      <x:c r="C9" t="str">
        <x:v>Fuente</x:v>
      </x:c>
      <x:c r="D9" t="str">
        <x:v>CSV original Teleplot</x:v>
      </x:c>
    </x:row>
    <x:row r="10">
      <x:c r="A10" t="str">
        <x:v>Firmware</x:v>
      </x:c>
      <x:c r="B10" t="str">
        <x:v>Modo banco 13.2 + cambios locales</x:v>
      </x:c>
      <x:c r="C10" t="str">
        <x:v>Tipo de conexión</x:v>
      </x:c>
      <x:c r="D10" t="str">
        <x:v>USART6 TX → USB–TTL → COM5</x:v>
      </x:c>
    </x:row>
    <x:row r="12" ht="23" customHeight="1">
      <x:c r="A12" s="25" t="str">
        <x:v>Hallazgos que sí se desprenden del archivo</x:v>
      </x:c>
      <x:c r="B12" s="25"/>
      <x:c r="C12" s="25"/>
      <x:c r="D12" s="25"/>
      <x:c r="E12" s="25"/>
      <x:c r="F12" s="25"/>
      <x:c r="G12" s="25"/>
      <x:c r="H12" s="25"/>
    </x:row>
    <x:row r="13" ht="24" customHeight="1">
      <x:c r="A13" s="4" t="str">
        <x:v>Área</x:v>
      </x:c>
      <x:c r="B13" s="4" t="str">
        <x:v>Evidencia registrada</x:v>
      </x:c>
      <x:c r="C13" s="4" t="str">
        <x:v>Dictamen limitado</x:v>
      </x:c>
      <x:c r="D13" s="4" t="str">
        <x:v>Siguiente verificación</x:v>
      </x:c>
    </x:row>
    <x:row r="14" ht="29" customHeight="1">
      <x:c r="A14" s="28" t="str">
        <x:v>P-02 | firmware</x:v>
      </x:c>
      <x:c r="B14" s="28" t="str">
        <x:v>main_alive 771→785</x:v>
      </x:c>
      <x:c r="C14" s="28" t="str">
        <x:v>Ejecución durante la captura</x:v>
      </x:c>
      <x:c r="D14" s="28" t="str">
        <x:v>Prueba prolongada y revisar HardFault</x:v>
      </x:c>
    </x:row>
    <x:row r="15" ht="29" customHeight="1">
      <x:c r="A15" s="28" t="str">
        <x:v>P-03 | UART6</x:v>
      </x:c>
      <x:c r="B15" s="28" t="str">
        <x:v>52 variables; 30 valores cada una</x:v>
      </x:c>
      <x:c r="C15" s="28" t="str">
        <x:v>Transmisión PCB→PC</x:v>
      </x:c>
      <x:c r="D15" s="28" t="str">
        <x:v>Enviar PCB STATUS con LF</x:v>
      </x:c>
    </x:row>
    <x:row r="16" ht="29" customHeight="1">
      <x:c r="A16" s="28" t="str">
        <x:v>P-04 | IMU</x:v>
      </x:c>
      <x:c r="B16" s="28" t="str">
        <x:v>imu_ok=1, imu_data_ok=1</x:v>
      </x:c>
      <x:c r="C16" s="28" t="str">
        <x:v>Datos recibidos</x:v>
      </x:c>
      <x:c r="D16" s="28" t="str">
        <x:v>Inclinación con referencia angular</x:v>
      </x:c>
    </x:row>
    <x:row r="17" ht="29" customHeight="1">
      <x:c r="A17" s="28" t="str">
        <x:v>P-05 | GNSS</x:v>
      </x:c>
      <x:c r="B17" s="28" t="str">
        <x:v>gnss_rx_bytes=0</x:v>
      </x:c>
      <x:c r="C17" s="28" t="str">
        <x:v>Sin recepción observada</x:v>
      </x:c>
      <x:c r="D17" s="28" t="str">
        <x:v>Comprobar conexión y salida L76K</x:v>
      </x:c>
    </x:row>
    <x:row r="18" ht="29" customHeight="1">
      <x:c r="A18" s="28" t="str">
        <x:v>P-06 | DS18B20</x:v>
      </x:c>
      <x:c r="B18" s="28" t="str">
        <x:v>temperatura_c = −100 °C</x:v>
      </x:c>
      <x:c r="C18" s="28" t="str">
        <x:v>Lectura inválida</x:v>
      </x:c>
      <x:c r="D18" s="28" t="str">
        <x:v>Inspeccionar 1-Wire J22 y pull-up</x:v>
      </x:c>
    </x:row>
    <x:row r="19" ht="29" customHeight="1">
      <x:c r="A19" s="28" t="str">
        <x:v>P-07 | humedad</x:v>
      </x:c>
      <x:c r="B19" s="28" t="str">
        <x:v>ADC=4095 y calculada 0 %</x:v>
      </x:c>
      <x:c r="C19" s="28" t="str">
        <x:v>Sin validación</x:v>
      </x:c>
      <x:c r="D19" s="28" t="str">
        <x:v>Revisar conexión, Vout y ADC</x:v>
      </x:c>
    </x:row>
    <x:row r="20" ht="29" customHeight="1">
      <x:c r="A20" s="28" t="str">
        <x:v>P-08 | batería</x:v>
      </x:c>
      <x:c r="B20" s="28" t="str">
        <x:v>13,21 a 13,35 V</x:v>
      </x:c>
      <x:c r="C20" s="28" t="str">
        <x:v>Lectura disponible</x:v>
      </x:c>
      <x:c r="D20" s="28" t="str">
        <x:v>Comparar contra multímetro</x:v>
      </x:c>
    </x:row>
    <x:row r="21" ht="29" customHeight="1">
      <x:c r="A21" s="28" t="str">
        <x:v>P-09 | corriente</x:v>
      </x:c>
      <x:c r="B21" s="28" t="str">
        <x:v>133,51 a 139,18 A</x:v>
      </x:c>
      <x:c r="C21" s="28" t="str">
        <x:v>Lectura anómala</x:v>
      </x:c>
      <x:c r="D21" s="28" t="str">
        <x:v>Verificar offset, cableado y calibración</x:v>
      </x:c>
    </x:row>
    <x:row r="22" ht="29" customHeight="1">
      <x:c r="A22" s="28" t="str">
        <x:v>P-10..P-17 | actuadores</x:v>
      </x:c>
      <x:c r="B22" s="28" t="str">
        <x:v>pcb_armado=0; PWM motores 1500 µs</x:v>
      </x:c>
      <x:c r="C22" s="28" t="str">
        <x:v>Sin ensayos dinámicos</x:v>
      </x:c>
      <x:c r="D22" s="28" t="str">
        <x:v>Mantener motores y bomba desconectados</x:v>
      </x:c>
    </x:row>
    <x:row r="24" ht="23" customHeight="1">
      <x:c r="A24" s="25" t="str">
        <x:v>Notas de método y limitaciones</x:v>
      </x:c>
      <x:c r="B24" s="25"/>
      <x:c r="C24" s="25"/>
      <x:c r="D24" s="25"/>
      <x:c r="E24" s="25"/>
      <x:c r="F24" s="25"/>
      <x:c r="G24" s="25"/>
      <x:c r="H24" s="25"/>
    </x:row>
    <x:row r="25" ht="24" customHeight="1">
      <x:c r="A25" s="28" t="str">
        <x:v>El CSV usa la etiqueta timestamp(ms), pero sus números corresponden a segundos Unix con decimales (no milisegundos desde arranque).</x:v>
      </x:c>
      <x:c r="B25" s="28"/>
      <x:c r="C25" s="28"/>
      <x:c r="D25" s="28"/>
      <x:c r="E25" s="28"/>
      <x:c r="F25" s="28"/>
      <x:c r="G25" s="28"/>
      <x:c r="H25" s="28"/>
    </x:row>
    <x:row r="26" ht="24" customHeight="1">
      <x:c r="A26" s="28" t="str">
        <x:v>El CSV es disperso: cada fila actualiza una o varias variables. En «Muestras» se emparejan los 30 valores por ordinal, no por simultaneidad exacta.</x:v>
      </x:c>
      <x:c r="B26" s="28"/>
      <x:c r="C26" s="28"/>
      <x:c r="D26" s="28"/>
      <x:c r="E26" s="28"/>
      <x:c r="F26" s="28"/>
      <x:c r="G26" s="28"/>
      <x:c r="H26" s="28"/>
    </x:row>
    <x:row r="27" ht="24" customHeight="1">
      <x:c r="A27" s="28" t="str">
        <x:v>Los promedios, mínimos y máximos se refieren a 30 lecturas por variable, no a 1.491 muestras completas.</x:v>
      </x:c>
      <x:c r="B27" s="28"/>
      <x:c r="C27" s="28"/>
      <x:c r="D27" s="28"/>
      <x:c r="E27" s="28"/>
      <x:c r="F27" s="28"/>
      <x:c r="G27" s="28"/>
      <x:c r="H27" s="28"/>
    </x:row>
    <x:row r="28" ht="24" customHeight="1">
      <x:c r="A28" s="28" t="str">
        <x:v>El enlace USART6 TX queda evidenciado; USART6 RX y la estabilidad de larga duración continúan pendientes.</x:v>
      </x:c>
      <x:c r="B28" s="28"/>
      <x:c r="C28" s="28"/>
      <x:c r="D28" s="28"/>
      <x:c r="E28" s="28"/>
      <x:c r="F28" s="28"/>
      <x:c r="G28" s="28"/>
      <x:c r="H28" s="28"/>
    </x:row>
    <x:row r="29" ht="24" customHeight="1">
      <x:c r="A29" s="28" t="str">
        <x:v>Las magnitudes sin calibración o referencia externa NO deben citarse como mediciones validadas.</x:v>
      </x:c>
      <x:c r="B29" s="28"/>
      <x:c r="C29" s="28"/>
      <x:c r="D29" s="28"/>
      <x:c r="E29" s="28"/>
      <x:c r="F29" s="28"/>
      <x:c r="G29" s="28"/>
      <x:c r="H29" s="28"/>
    </x:row>
    <x:row r="30" ht="24" customHeight="1">
      <x:c r="A30" s="28" t="str">
        <x:v>Conservar siempre el CSV original como evidencia primaria y registrar el commit/local build del firmware usado.</x:v>
      </x:c>
      <x:c r="B30" s="28"/>
      <x:c r="C30" s="28"/>
      <x:c r="D30" s="28"/>
      <x:c r="E30" s="28"/>
      <x:c r="F30" s="28"/>
      <x:c r="G30" s="28"/>
      <x:c r="H30" s="28"/>
    </x:row>
  </x:sheetData>
  <x:mergeCells>
    <x:mergeCell ref="A1:H2"/>
    <x:mergeCell ref="A3:H3"/>
    <x:mergeCell ref="A12:H12"/>
    <x:mergeCell ref="A24:H24"/>
    <x:mergeCell ref="A25:H25"/>
    <x:mergeCell ref="A26:H26"/>
    <x:mergeCell ref="A27:H27"/>
    <x:mergeCell ref="A28:H28"/>
    <x:mergeCell ref="A29:H29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70" hidden="0" customWidth="1"/>
  </x:cols>
  <x:sheetData>
    <x:row r="1" ht="24" customHeight="1">
      <x:c r="A1" s="4" t="str">
        <x:v>Variable</x:v>
      </x:c>
      <x:c r="B1" s="4" t="str">
        <x:v>Lecturas</x:v>
      </x:c>
      <x:c r="C1" s="4" t="str">
        <x:v>Mínimo</x:v>
      </x:c>
      <x:c r="D1" s="4" t="str">
        <x:v>Máximo</x:v>
      </x:c>
      <x:c r="E1" s="4" t="str">
        <x:v>Promedio</x:v>
      </x:c>
      <x:c r="F1" s="4" t="str">
        <x:v>Primera</x:v>
      </x:c>
      <x:c r="G1" s="4" t="str">
        <x:v>Última</x:v>
      </x:c>
      <x:c r="H1" s="4" t="str">
        <x:v>Evaluación</x:v>
      </x:c>
      <x:c r="I1" s="4" t="str">
        <x:v>Observación</x:v>
      </x:c>
    </x:row>
    <x:row r="2">
      <x:c r="A2" t="str">
        <x:v>bomba_achique</x:v>
      </x:c>
      <x:c r="B2" t="n">
        <x:f>COUNT('Muestras'!$C$2:$C$31)</x:f>
        <x:v>30</x:v>
      </x:c>
      <x:c r="C2" s="8" t="n">
        <x:f>MIN('Muestras'!$C$2:$C$31)</x:f>
        <x:v>0</x:v>
      </x:c>
      <x:c r="D2" s="8" t="n">
        <x:f>MAX('Muestras'!$C$2:$C$31)</x:f>
        <x:v>0</x:v>
      </x:c>
      <x:c r="E2" s="8" t="n">
        <x:f>AVERAGE('Muestras'!$C$2:$C$31)</x:f>
        <x:v>0</x:v>
      </x:c>
      <x:c r="F2" s="8" t="n">
        <x:f>INDEX('Muestras'!$C$2:$C$31,1)</x:f>
        <x:v>0</x:v>
      </x:c>
      <x:c r="G2" s="8" t="n">
        <x:f>INDEX('Muestras'!$C$2:$C$31,30)</x:f>
        <x:v>0</x:v>
      </x:c>
      <x:c r="H2" t="str">
        <x:v>Sin ensayo de actuación</x:v>
      </x:c>
      <x:c r="I2" t="str">
        <x:v>Estado 0, sin accionamiento físico probado.</x:v>
      </x:c>
    </x:row>
    <x:row r="3">
      <x:c r="A3" t="str">
        <x:v>main_alive</x:v>
      </x:c>
      <x:c r="B3" t="n">
        <x:f>COUNT('Muestras'!$D$2:$D$31)</x:f>
        <x:v>30</x:v>
      </x:c>
      <x:c r="C3" s="8" t="n">
        <x:f>MIN('Muestras'!$D$2:$D$31)</x:f>
        <x:v>771</x:v>
      </x:c>
      <x:c r="D3" s="8" t="n">
        <x:f>MAX('Muestras'!$D$2:$D$31)</x:f>
        <x:v>785</x:v>
      </x:c>
      <x:c r="E3" s="8" t="n">
        <x:f>AVERAGE('Muestras'!$D$2:$D$31)</x:f>
        <x:v>778</x:v>
      </x:c>
      <x:c r="F3" s="8" t="n">
        <x:f>INDEX('Muestras'!$D$2:$D$31,1)</x:f>
        <x:v>771</x:v>
      </x:c>
      <x:c r="G3" s="8" t="n">
        <x:f>INDEX('Muestras'!$D$2:$D$31,30)</x:f>
        <x:v>785</x:v>
      </x:c>
      <x:c r="H3" s="11" t="str">
        <x:v>Evidencia favorable</x:v>
      </x:c>
      <x:c r="I3" t="str">
        <x:v>Contador ascendente; no confirma por sí solo estabilidad prolongada.</x:v>
      </x:c>
    </x:row>
    <x:row r="4">
      <x:c r="A4" t="str">
        <x:v>imu_ok</x:v>
      </x:c>
      <x:c r="B4" t="n">
        <x:f>COUNT('Muestras'!$E$2:$E$31)</x:f>
        <x:v>30</x:v>
      </x:c>
      <x:c r="C4" s="8" t="n">
        <x:f>MIN('Muestras'!$E$2:$E$31)</x:f>
        <x:v>1</x:v>
      </x:c>
      <x:c r="D4" s="8" t="n">
        <x:f>MAX('Muestras'!$E$2:$E$31)</x:f>
        <x:v>1</x:v>
      </x:c>
      <x:c r="E4" s="8" t="n">
        <x:f>AVERAGE('Muestras'!$E$2:$E$31)</x:f>
        <x:v>1</x:v>
      </x:c>
      <x:c r="F4" s="8" t="n">
        <x:f>INDEX('Muestras'!$E$2:$E$31,1)</x:f>
        <x:v>1</x:v>
      </x:c>
      <x:c r="G4" s="8" t="n">
        <x:f>INDEX('Muestras'!$E$2:$E$31,30)</x:f>
        <x:v>1</x:v>
      </x:c>
      <x:c r="H4" s="11" t="str">
        <x:v>Evidencia favorable</x:v>
      </x:c>
      <x:c r="I4" t="str">
        <x:v>Sensor reconocido por firmware; confirmar dirección y conexión con ensayo específico.</x:v>
      </x:c>
    </x:row>
    <x:row r="5">
      <x:c r="A5" t="str">
        <x:v>imu_addr</x:v>
      </x:c>
      <x:c r="B5" t="n">
        <x:f>COUNT('Muestras'!$F$2:$F$31)</x:f>
        <x:v>30</x:v>
      </x:c>
      <x:c r="C5" s="8" t="n">
        <x:f>MIN('Muestras'!$F$2:$F$31)</x:f>
        <x:v>75</x:v>
      </x:c>
      <x:c r="D5" s="8" t="n">
        <x:f>MAX('Muestras'!$F$2:$F$31)</x:f>
        <x:v>75</x:v>
      </x:c>
      <x:c r="E5" s="8" t="n">
        <x:f>AVERAGE('Muestras'!$F$2:$F$31)</x:f>
        <x:v>75</x:v>
      </x:c>
      <x:c r="F5" s="8" t="n">
        <x:f>INDEX('Muestras'!$F$2:$F$31,1)</x:f>
        <x:v>75</x:v>
      </x:c>
      <x:c r="G5" s="8" t="n">
        <x:f>INDEX('Muestras'!$F$2:$F$31,30)</x:f>
        <x:v>75</x:v>
      </x:c>
      <x:c r="H5" t="str">
        <x:v>Diagnóstico</x:v>
      </x:c>
      <x:c r="I5" t="str">
        <x:v>Dirección reportada 75 decimal (0x4B).</x:v>
      </x:c>
    </x:row>
    <x:row r="6">
      <x:c r="A6" t="str">
        <x:v>imu_data_ok</x:v>
      </x:c>
      <x:c r="B6" t="n">
        <x:f>COUNT('Muestras'!$G$2:$G$31)</x:f>
        <x:v>30</x:v>
      </x:c>
      <x:c r="C6" s="8" t="n">
        <x:f>MIN('Muestras'!$G$2:$G$31)</x:f>
        <x:v>1</x:v>
      </x:c>
      <x:c r="D6" s="8" t="n">
        <x:f>MAX('Muestras'!$G$2:$G$31)</x:f>
        <x:v>1</x:v>
      </x:c>
      <x:c r="E6" s="8" t="n">
        <x:f>AVERAGE('Muestras'!$G$2:$G$31)</x:f>
        <x:v>1</x:v>
      </x:c>
      <x:c r="F6" s="8" t="n">
        <x:f>INDEX('Muestras'!$G$2:$G$31,1)</x:f>
        <x:v>1</x:v>
      </x:c>
      <x:c r="G6" s="8" t="n">
        <x:f>INDEX('Muestras'!$G$2:$G$31,30)</x:f>
        <x:v>1</x:v>
      </x:c>
      <x:c r="H6" s="11" t="str">
        <x:v>Evidencia favorable</x:v>
      </x:c>
      <x:c r="I6" t="str">
        <x:v>Datos recibidos durante registro.</x:v>
      </x:c>
    </x:row>
    <x:row r="7">
      <x:c r="A7" t="str">
        <x:v>roll</x:v>
      </x:c>
      <x:c r="B7" t="n">
        <x:f>COUNT('Muestras'!$H$2:$H$31)</x:f>
        <x:v>30</x:v>
      </x:c>
      <x:c r="C7" s="8" t="n">
        <x:f>MIN('Muestras'!$H$2:$H$31)</x:f>
        <x:v>2.46</x:v>
      </x:c>
      <x:c r="D7" s="8" t="n">
        <x:f>MAX('Muestras'!$H$2:$H$31)</x:f>
        <x:v>2.53</x:v>
      </x:c>
      <x:c r="E7" s="8" t="n">
        <x:f>AVERAGE('Muestras'!$H$2:$H$31)</x:f>
        <x:v>2.496</x:v>
      </x:c>
      <x:c r="F7" s="8" t="n">
        <x:f>INDEX('Muestras'!$H$2:$H$31,1)</x:f>
        <x:v>2.53</x:v>
      </x:c>
      <x:c r="G7" s="8" t="n">
        <x:f>INDEX('Muestras'!$H$2:$H$31,30)</x:f>
        <x:v>2.5</x:v>
      </x:c>
      <x:c r="H7" t="str">
        <x:v>Pendiente P-04</x:v>
      </x:c>
      <x:c r="I7" t="str">
        <x:v>Comparar con posiciones inclinadas conocidas.</x:v>
      </x:c>
    </x:row>
    <x:row r="8">
      <x:c r="A8" t="str">
        <x:v>pitch</x:v>
      </x:c>
      <x:c r="B8" t="n">
        <x:f>COUNT('Muestras'!$I$2:$I$31)</x:f>
        <x:v>30</x:v>
      </x:c>
      <x:c r="C8" s="8" t="n">
        <x:f>MIN('Muestras'!$I$2:$I$31)</x:f>
        <x:v>2.92</x:v>
      </x:c>
      <x:c r="D8" s="8" t="n">
        <x:f>MAX('Muestras'!$I$2:$I$31)</x:f>
        <x:v>3</x:v>
      </x:c>
      <x:c r="E8" s="8" t="n">
        <x:f>AVERAGE('Muestras'!$I$2:$I$31)</x:f>
        <x:v>2.958666666666667</x:v>
      </x:c>
      <x:c r="F8" s="8" t="n">
        <x:f>INDEX('Muestras'!$I$2:$I$31,1)</x:f>
        <x:v>2.92</x:v>
      </x:c>
      <x:c r="G8" s="8" t="n">
        <x:f>INDEX('Muestras'!$I$2:$I$31,30)</x:f>
        <x:v>2.94</x:v>
      </x:c>
      <x:c r="H8" t="str">
        <x:v>Pendiente P-04</x:v>
      </x:c>
      <x:c r="I8" t="str">
        <x:v>Comparar con posiciones inclinadas conocidas.</x:v>
      </x:c>
    </x:row>
    <x:row r="9">
      <x:c r="A9" t="str">
        <x:v>yaw</x:v>
      </x:c>
      <x:c r="B9" t="n">
        <x:f>COUNT('Muestras'!$J$2:$J$31)</x:f>
        <x:v>30</x:v>
      </x:c>
      <x:c r="C9" s="8" t="n">
        <x:f>MIN('Muestras'!$J$2:$J$31)</x:f>
        <x:v>-132.38</x:v>
      </x:c>
      <x:c r="D9" s="8" t="n">
        <x:f>MAX('Muestras'!$J$2:$J$31)</x:f>
        <x:v>-132.35</x:v>
      </x:c>
      <x:c r="E9" s="8" t="n">
        <x:f>AVERAGE('Muestras'!$J$2:$J$31)</x:f>
        <x:v>-132.36499999999995</x:v>
      </x:c>
      <x:c r="F9" s="8" t="n">
        <x:f>INDEX('Muestras'!$J$2:$J$31,1)</x:f>
        <x:v>-132.36</x:v>
      </x:c>
      <x:c r="G9" s="8" t="n">
        <x:f>INDEX('Muestras'!$J$2:$J$31,30)</x:f>
        <x:v>-132.37</x:v>
      </x:c>
      <x:c r="H9" t="str">
        <x:v>Pendiente P-04</x:v>
      </x:c>
      <x:c r="I9" t="str">
        <x:v>No se ha comprobado orientación absoluta.</x:v>
      </x:c>
    </x:row>
    <x:row r="10">
      <x:c r="A10" t="str">
        <x:v>gnss_rx_eventos</x:v>
      </x:c>
      <x:c r="B10" t="n">
        <x:f>COUNT('Muestras'!$K$2:$K$31)</x:f>
        <x:v>30</x:v>
      </x:c>
      <x:c r="C10" s="8" t="n">
        <x:f>MIN('Muestras'!$K$2:$K$31)</x:f>
        <x:v>0</x:v>
      </x:c>
      <x:c r="D10" s="8" t="n">
        <x:f>MAX('Muestras'!$K$2:$K$31)</x:f>
        <x:v>0</x:v>
      </x:c>
      <x:c r="E10" s="8" t="n">
        <x:f>AVERAGE('Muestras'!$K$2:$K$31)</x:f>
        <x:v>0</x:v>
      </x:c>
      <x:c r="F10" s="8" t="n">
        <x:f>INDEX('Muestras'!$K$2:$K$31,1)</x:f>
        <x:v>0</x:v>
      </x:c>
      <x:c r="G10" s="8" t="n">
        <x:f>INDEX('Muestras'!$K$2:$K$31,30)</x:f>
        <x:v>0</x:v>
      </x:c>
      <x:c r="H10" s="15" t="str">
        <x:v>Incidencia P-05</x:v>
      </x:c>
      <x:c r="I10" t="str">
        <x:v>Cero eventos; confirmar alimentación, GND, USART2 y GNSS TX.</x:v>
      </x:c>
    </x:row>
    <x:row r="11">
      <x:c r="A11" t="str">
        <x:v>gnss_rx_bytes</x:v>
      </x:c>
      <x:c r="B11" t="n">
        <x:f>COUNT('Muestras'!$L$2:$L$31)</x:f>
        <x:v>30</x:v>
      </x:c>
      <x:c r="C11" s="8" t="n">
        <x:f>MIN('Muestras'!$L$2:$L$31)</x:f>
        <x:v>0</x:v>
      </x:c>
      <x:c r="D11" s="8" t="n">
        <x:f>MAX('Muestras'!$L$2:$L$31)</x:f>
        <x:v>0</x:v>
      </x:c>
      <x:c r="E11" s="8" t="n">
        <x:f>AVERAGE('Muestras'!$L$2:$L$31)</x:f>
        <x:v>0</x:v>
      </x:c>
      <x:c r="F11" s="8" t="n">
        <x:f>INDEX('Muestras'!$L$2:$L$31,1)</x:f>
        <x:v>0</x:v>
      </x:c>
      <x:c r="G11" s="8" t="n">
        <x:f>INDEX('Muestras'!$L$2:$L$31,30)</x:f>
        <x:v>0</x:v>
      </x:c>
      <x:c r="H11" s="15" t="str">
        <x:v>Incidencia P-05</x:v>
      </x:c>
      <x:c r="I11" t="str">
        <x:v>Cero bytes; no equivale solo a esperar más satélites.</x:v>
      </x:c>
    </x:row>
    <x:row r="12">
      <x:c r="A12" t="str">
        <x:v>gps_rmc_ok</x:v>
      </x:c>
      <x:c r="B12" t="n">
        <x:f>COUNT('Muestras'!$M$2:$M$31)</x:f>
        <x:v>30</x:v>
      </x:c>
      <x:c r="C12" s="8" t="n">
        <x:f>MIN('Muestras'!$M$2:$M$31)</x:f>
        <x:v>0</x:v>
      </x:c>
      <x:c r="D12" s="8" t="n">
        <x:f>MAX('Muestras'!$M$2:$M$31)</x:f>
        <x:v>0</x:v>
      </x:c>
      <x:c r="E12" s="8" t="n">
        <x:f>AVERAGE('Muestras'!$M$2:$M$31)</x:f>
        <x:v>0</x:v>
      </x:c>
      <x:c r="F12" s="8" t="n">
        <x:f>INDEX('Muestras'!$M$2:$M$31,1)</x:f>
        <x:v>0</x:v>
      </x:c>
      <x:c r="G12" s="8" t="n">
        <x:f>INDEX('Muestras'!$M$2:$M$31,30)</x:f>
        <x:v>0</x:v>
      </x:c>
      <x:c r="H12" t="str">
        <x:v>Sin ensayo funcional</x:v>
      </x:c>
      <x:c r="I12" t="str">
        <x:v>Variable capturada sin estímulo o patrón de referencia en esta sesión.</x:v>
      </x:c>
    </x:row>
    <x:row r="13">
      <x:c r="A13" t="str">
        <x:v>gps_gga_ok</x:v>
      </x:c>
      <x:c r="B13" t="n">
        <x:f>COUNT('Muestras'!$N$2:$N$31)</x:f>
        <x:v>30</x:v>
      </x:c>
      <x:c r="C13" s="8" t="n">
        <x:f>MIN('Muestras'!$N$2:$N$31)</x:f>
        <x:v>0</x:v>
      </x:c>
      <x:c r="D13" s="8" t="n">
        <x:f>MAX('Muestras'!$N$2:$N$31)</x:f>
        <x:v>0</x:v>
      </x:c>
      <x:c r="E13" s="8" t="n">
        <x:f>AVERAGE('Muestras'!$N$2:$N$31)</x:f>
        <x:v>0</x:v>
      </x:c>
      <x:c r="F13" s="8" t="n">
        <x:f>INDEX('Muestras'!$N$2:$N$31,1)</x:f>
        <x:v>0</x:v>
      </x:c>
      <x:c r="G13" s="8" t="n">
        <x:f>INDEX('Muestras'!$N$2:$N$31,30)</x:f>
        <x:v>0</x:v>
      </x:c>
      <x:c r="H13" t="str">
        <x:v>Sin ensayo funcional</x:v>
      </x:c>
      <x:c r="I13" t="str">
        <x:v>Variable capturada sin estímulo o patrón de referencia en esta sesión.</x:v>
      </x:c>
    </x:row>
    <x:row r="14">
      <x:c r="A14" t="str">
        <x:v>gps_fix</x:v>
      </x:c>
      <x:c r="B14" t="n">
        <x:f>COUNT('Muestras'!$O$2:$O$31)</x:f>
        <x:v>30</x:v>
      </x:c>
      <x:c r="C14" s="8" t="n">
        <x:f>MIN('Muestras'!$O$2:$O$31)</x:f>
        <x:v>0</x:v>
      </x:c>
      <x:c r="D14" s="8" t="n">
        <x:f>MAX('Muestras'!$O$2:$O$31)</x:f>
        <x:v>0</x:v>
      </x:c>
      <x:c r="E14" s="8" t="n">
        <x:f>AVERAGE('Muestras'!$O$2:$O$31)</x:f>
        <x:v>0</x:v>
      </x:c>
      <x:c r="F14" s="8" t="n">
        <x:f>INDEX('Muestras'!$O$2:$O$31,1)</x:f>
        <x:v>0</x:v>
      </x:c>
      <x:c r="G14" s="8" t="n">
        <x:f>INDEX('Muestras'!$O$2:$O$31,30)</x:f>
        <x:v>0</x:v>
      </x:c>
      <x:c r="H14" t="str">
        <x:v>Pendiente P-05</x:v>
      </x:c>
      <x:c r="I14" t="str">
        <x:v>Cero fix; primero resolver recepción de bytes.</x:v>
      </x:c>
    </x:row>
    <x:row r="15">
      <x:c r="A15" t="str">
        <x:v>gps_satelites</x:v>
      </x:c>
      <x:c r="B15" t="n">
        <x:f>COUNT('Muestras'!$P$2:$P$31)</x:f>
        <x:v>30</x:v>
      </x:c>
      <x:c r="C15" s="8" t="n">
        <x:f>MIN('Muestras'!$P$2:$P$31)</x:f>
        <x:v>0</x:v>
      </x:c>
      <x:c r="D15" s="8" t="n">
        <x:f>MAX('Muestras'!$P$2:$P$31)</x:f>
        <x:v>0</x:v>
      </x:c>
      <x:c r="E15" s="8" t="n">
        <x:f>AVERAGE('Muestras'!$P$2:$P$31)</x:f>
        <x:v>0</x:v>
      </x:c>
      <x:c r="F15" s="8" t="n">
        <x:f>INDEX('Muestras'!$P$2:$P$31,1)</x:f>
        <x:v>0</x:v>
      </x:c>
      <x:c r="G15" s="8" t="n">
        <x:f>INDEX('Muestras'!$P$2:$P$31,30)</x:f>
        <x:v>0</x:v>
      </x:c>
      <x:c r="H15" t="str">
        <x:v>Sin ensayo funcional</x:v>
      </x:c>
      <x:c r="I15" t="str">
        <x:v>Variable capturada sin estímulo o patrón de referencia en esta sesión.</x:v>
      </x:c>
    </x:row>
    <x:row r="16">
      <x:c r="A16" t="str">
        <x:v>gps_hdop</x:v>
      </x:c>
      <x:c r="B16" t="n">
        <x:f>COUNT('Muestras'!$Q$2:$Q$31)</x:f>
        <x:v>30</x:v>
      </x:c>
      <x:c r="C16" s="8" t="n">
        <x:f>MIN('Muestras'!$Q$2:$Q$31)</x:f>
        <x:v>0</x:v>
      </x:c>
      <x:c r="D16" s="8" t="n">
        <x:f>MAX('Muestras'!$Q$2:$Q$31)</x:f>
        <x:v>0</x:v>
      </x:c>
      <x:c r="E16" s="8" t="n">
        <x:f>AVERAGE('Muestras'!$Q$2:$Q$31)</x:f>
        <x:v>0</x:v>
      </x:c>
      <x:c r="F16" s="8" t="n">
        <x:f>INDEX('Muestras'!$Q$2:$Q$31,1)</x:f>
        <x:v>0</x:v>
      </x:c>
      <x:c r="G16" s="8" t="n">
        <x:f>INDEX('Muestras'!$Q$2:$Q$31,30)</x:f>
        <x:v>0</x:v>
      </x:c>
      <x:c r="H16" t="str">
        <x:v>Sin ensayo funcional</x:v>
      </x:c>
      <x:c r="I16" t="str">
        <x:v>Variable capturada sin estímulo o patrón de referencia en esta sesión.</x:v>
      </x:c>
    </x:row>
    <x:row r="17">
      <x:c r="A17" t="str">
        <x:v>gps_latitud</x:v>
      </x:c>
      <x:c r="B17" t="n">
        <x:f>COUNT('Muestras'!$R$2:$R$31)</x:f>
        <x:v>30</x:v>
      </x:c>
      <x:c r="C17" s="8" t="n">
        <x:f>MIN('Muestras'!$R$2:$R$31)</x:f>
        <x:v>0</x:v>
      </x:c>
      <x:c r="D17" s="8" t="n">
        <x:f>MAX('Muestras'!$R$2:$R$31)</x:f>
        <x:v>0</x:v>
      </x:c>
      <x:c r="E17" s="8" t="n">
        <x:f>AVERAGE('Muestras'!$R$2:$R$31)</x:f>
        <x:v>0</x:v>
      </x:c>
      <x:c r="F17" s="8" t="n">
        <x:f>INDEX('Muestras'!$R$2:$R$31,1)</x:f>
        <x:v>0</x:v>
      </x:c>
      <x:c r="G17" s="8" t="n">
        <x:f>INDEX('Muestras'!$R$2:$R$31,30)</x:f>
        <x:v>0</x:v>
      </x:c>
      <x:c r="H17" t="str">
        <x:v>Sin ensayo funcional</x:v>
      </x:c>
      <x:c r="I17" t="str">
        <x:v>Variable capturada sin estímulo o patrón de referencia en esta sesión.</x:v>
      </x:c>
    </x:row>
    <x:row r="18">
      <x:c r="A18" t="str">
        <x:v>gps_longitud</x:v>
      </x:c>
      <x:c r="B18" t="n">
        <x:f>COUNT('Muestras'!$S$2:$S$31)</x:f>
        <x:v>30</x:v>
      </x:c>
      <x:c r="C18" s="8" t="n">
        <x:f>MIN('Muestras'!$S$2:$S$31)</x:f>
        <x:v>0</x:v>
      </x:c>
      <x:c r="D18" s="8" t="n">
        <x:f>MAX('Muestras'!$S$2:$S$31)</x:f>
        <x:v>0</x:v>
      </x:c>
      <x:c r="E18" s="8" t="n">
        <x:f>AVERAGE('Muestras'!$S$2:$S$31)</x:f>
        <x:v>0</x:v>
      </x:c>
      <x:c r="F18" s="8" t="n">
        <x:f>INDEX('Muestras'!$S$2:$S$31,1)</x:f>
        <x:v>0</x:v>
      </x:c>
      <x:c r="G18" s="8" t="n">
        <x:f>INDEX('Muestras'!$S$2:$S$31,30)</x:f>
        <x:v>0</x:v>
      </x:c>
      <x:c r="H18" t="str">
        <x:v>Sin ensayo funcional</x:v>
      </x:c>
      <x:c r="I18" t="str">
        <x:v>Variable capturada sin estímulo o patrón de referencia en esta sesión.</x:v>
      </x:c>
    </x:row>
    <x:row r="19">
      <x:c r="A19" t="str">
        <x:v>gps_altitud_m</x:v>
      </x:c>
      <x:c r="B19" t="n">
        <x:f>COUNT('Muestras'!$T$2:$T$31)</x:f>
        <x:v>30</x:v>
      </x:c>
      <x:c r="C19" s="8" t="n">
        <x:f>MIN('Muestras'!$T$2:$T$31)</x:f>
        <x:v>0</x:v>
      </x:c>
      <x:c r="D19" s="8" t="n">
        <x:f>MAX('Muestras'!$T$2:$T$31)</x:f>
        <x:v>0</x:v>
      </x:c>
      <x:c r="E19" s="8" t="n">
        <x:f>AVERAGE('Muestras'!$T$2:$T$31)</x:f>
        <x:v>0</x:v>
      </x:c>
      <x:c r="F19" s="8" t="n">
        <x:f>INDEX('Muestras'!$T$2:$T$31,1)</x:f>
        <x:v>0</x:v>
      </x:c>
      <x:c r="G19" s="8" t="n">
        <x:f>INDEX('Muestras'!$T$2:$T$31,30)</x:f>
        <x:v>0</x:v>
      </x:c>
      <x:c r="H19" t="str">
        <x:v>Sin ensayo funcional</x:v>
      </x:c>
      <x:c r="I19" t="str">
        <x:v>Variable capturada sin estímulo o patrón de referencia en esta sesión.</x:v>
      </x:c>
    </x:row>
    <x:row r="20">
      <x:c r="A20" t="str">
        <x:v>gps_velocidad_kph</x:v>
      </x:c>
      <x:c r="B20" t="n">
        <x:f>COUNT('Muestras'!$U$2:$U$31)</x:f>
        <x:v>30</x:v>
      </x:c>
      <x:c r="C20" s="8" t="n">
        <x:f>MIN('Muestras'!$U$2:$U$31)</x:f>
        <x:v>0</x:v>
      </x:c>
      <x:c r="D20" s="8" t="n">
        <x:f>MAX('Muestras'!$U$2:$U$31)</x:f>
        <x:v>0</x:v>
      </x:c>
      <x:c r="E20" s="8" t="n">
        <x:f>AVERAGE('Muestras'!$U$2:$U$31)</x:f>
        <x:v>0</x:v>
      </x:c>
      <x:c r="F20" s="8" t="n">
        <x:f>INDEX('Muestras'!$U$2:$U$31,1)</x:f>
        <x:v>0</x:v>
      </x:c>
      <x:c r="G20" s="8" t="n">
        <x:f>INDEX('Muestras'!$U$2:$U$31,30)</x:f>
        <x:v>0</x:v>
      </x:c>
      <x:c r="H20" t="str">
        <x:v>Sin ensayo funcional</x:v>
      </x:c>
      <x:c r="I20" t="str">
        <x:v>Variable capturada sin estímulo o patrón de referencia en esta sesión.</x:v>
      </x:c>
    </x:row>
    <x:row r="21">
      <x:c r="A21" t="str">
        <x:v>gps_rumbo</x:v>
      </x:c>
      <x:c r="B21" t="n">
        <x:f>COUNT('Muestras'!$V$2:$V$31)</x:f>
        <x:v>30</x:v>
      </x:c>
      <x:c r="C21" s="8" t="n">
        <x:f>MIN('Muestras'!$V$2:$V$31)</x:f>
        <x:v>0</x:v>
      </x:c>
      <x:c r="D21" s="8" t="n">
        <x:f>MAX('Muestras'!$V$2:$V$31)</x:f>
        <x:v>0</x:v>
      </x:c>
      <x:c r="E21" s="8" t="n">
        <x:f>AVERAGE('Muestras'!$V$2:$V$31)</x:f>
        <x:v>0</x:v>
      </x:c>
      <x:c r="F21" s="8" t="n">
        <x:f>INDEX('Muestras'!$V$2:$V$31,1)</x:f>
        <x:v>0</x:v>
      </x:c>
      <x:c r="G21" s="8" t="n">
        <x:f>INDEX('Muestras'!$V$2:$V$31,30)</x:f>
        <x:v>0</x:v>
      </x:c>
      <x:c r="H21" t="str">
        <x:v>Sin ensayo funcional</x:v>
      </x:c>
      <x:c r="I21" t="str">
        <x:v>Variable capturada sin estímulo o patrón de referencia en esta sesión.</x:v>
      </x:c>
    </x:row>
    <x:row r="22">
      <x:c r="A22" t="str">
        <x:v>corriente_adc</x:v>
      </x:c>
      <x:c r="B22" t="n">
        <x:f>COUNT('Muestras'!$W$2:$W$31)</x:f>
        <x:v>30</x:v>
      </x:c>
      <x:c r="C22" s="8" t="n">
        <x:f>MIN('Muestras'!$W$2:$W$31)</x:f>
        <x:v>3620</x:v>
      </x:c>
      <x:c r="D22" s="8" t="n">
        <x:f>MAX('Muestras'!$W$2:$W$31)</x:f>
        <x:v>3642</x:v>
      </x:c>
      <x:c r="E22" s="8" t="n">
        <x:f>AVERAGE('Muestras'!$W$2:$W$31)</x:f>
        <x:v>3631.1666666666665</x:v>
      </x:c>
      <x:c r="F22" s="8" t="n">
        <x:f>INDEX('Muestras'!$W$2:$W$31,1)</x:f>
        <x:v>3639</x:v>
      </x:c>
      <x:c r="G22" s="8" t="n">
        <x:f>INDEX('Muestras'!$W$2:$W$31,30)</x:f>
        <x:v>3631</x:v>
      </x:c>
      <x:c r="H22" t="str">
        <x:v>Sin ensayo funcional</x:v>
      </x:c>
      <x:c r="I22" t="str">
        <x:v>Variable capturada sin estímulo o patrón de referencia en esta sesión.</x:v>
      </x:c>
    </x:row>
    <x:row r="23">
      <x:c r="A23" t="str">
        <x:v>corriente_voltaje_v</x:v>
      </x:c>
      <x:c r="B23" t="n">
        <x:f>COUNT('Muestras'!$X$2:$X$31)</x:f>
        <x:v>30</x:v>
      </x:c>
      <x:c r="C23" s="8" t="n">
        <x:f>MIN('Muestras'!$X$2:$X$31)</x:f>
        <x:v>2.917</x:v>
      </x:c>
      <x:c r="D23" s="8" t="n">
        <x:f>MAX('Muestras'!$X$2:$X$31)</x:f>
        <x:v>2.935</x:v>
      </x:c>
      <x:c r="E23" s="8" t="n">
        <x:f>AVERAGE('Muestras'!$X$2:$X$31)</x:f>
        <x:v>2.9262000000000006</x:v>
      </x:c>
      <x:c r="F23" s="8" t="n">
        <x:f>INDEX('Muestras'!$X$2:$X$31,1)</x:f>
        <x:v>2.933</x:v>
      </x:c>
      <x:c r="G23" s="8" t="n">
        <x:f>INDEX('Muestras'!$X$2:$X$31,30)</x:f>
        <x:v>2.926</x:v>
      </x:c>
      <x:c r="H23" t="str">
        <x:v>Diagnóstico P-09</x:v>
      </x:c>
      <x:c r="I23" t="str">
        <x:v>ADC ~2,93 V; investigar offset y alimentación del LEM.</x:v>
      </x:c>
    </x:row>
    <x:row r="24">
      <x:c r="A24" t="str">
        <x:v>corriente_a</x:v>
      </x:c>
      <x:c r="B24" t="n">
        <x:f>COUNT('Muestras'!$Y$2:$Y$31)</x:f>
        <x:v>30</x:v>
      </x:c>
      <x:c r="C24" s="8" t="n">
        <x:f>MIN('Muestras'!$Y$2:$Y$31)</x:f>
        <x:v>133.51</x:v>
      </x:c>
      <x:c r="D24" s="8" t="n">
        <x:f>MAX('Muestras'!$Y$2:$Y$31)</x:f>
        <x:v>139.18</x:v>
      </x:c>
      <x:c r="E24" s="8" t="n">
        <x:f>AVERAGE('Muestras'!$Y$2:$Y$31)</x:f>
        <x:v>136.38899999999998</x:v>
      </x:c>
      <x:c r="F24" s="8" t="n">
        <x:f>INDEX('Muestras'!$Y$2:$Y$31,1)</x:f>
        <x:v>138.41</x:v>
      </x:c>
      <x:c r="G24" s="8" t="n">
        <x:f>INDEX('Muestras'!$Y$2:$Y$31,30)</x:f>
        <x:v>136.35</x:v>
      </x:c>
      <x:c r="H24" s="15" t="str">
        <x:v>Incidencia P-09</x:v>
      </x:c>
      <x:c r="I24" t="str">
        <x:v>133–139 A en ausencia de prueba de carga; comprobar sensor/calibración/ruta ADC.</x:v>
      </x:c>
    </x:row>
    <x:row r="25">
      <x:c r="A25" t="str">
        <x:v>bateria_adc</x:v>
      </x:c>
      <x:c r="B25" t="n">
        <x:f>COUNT('Muestras'!$Z$2:$Z$31)</x:f>
        <x:v>30</x:v>
      </x:c>
      <x:c r="C25" s="8" t="n">
        <x:f>MIN('Muestras'!$Z$2:$Z$31)</x:f>
        <x:v>3120</x:v>
      </x:c>
      <x:c r="D25" s="8" t="n">
        <x:f>MAX('Muestras'!$Z$2:$Z$31)</x:f>
        <x:v>3152</x:v>
      </x:c>
      <x:c r="E25" s="8" t="n">
        <x:f>AVERAGE('Muestras'!$Z$2:$Z$31)</x:f>
        <x:v>3137.633333333333</x:v>
      </x:c>
      <x:c r="F25" s="8" t="n">
        <x:f>INDEX('Muestras'!$Z$2:$Z$31,1)</x:f>
        <x:v>3150</x:v>
      </x:c>
      <x:c r="G25" s="8" t="n">
        <x:f>INDEX('Muestras'!$Z$2:$Z$31,30)</x:f>
        <x:v>3136</x:v>
      </x:c>
      <x:c r="H25" t="str">
        <x:v>Sin ensayo funcional</x:v>
      </x:c>
      <x:c r="I25" t="str">
        <x:v>Variable capturada sin estímulo o patrón de referencia en esta sesión.</x:v>
      </x:c>
    </x:row>
    <x:row r="26">
      <x:c r="A26" t="str">
        <x:v>bateria_adc_v</x:v>
      </x:c>
      <x:c r="B26" t="n">
        <x:f>COUNT('Muestras'!$AA$2:$AA$31)</x:f>
        <x:v>30</x:v>
      </x:c>
      <x:c r="C26" s="8" t="n">
        <x:f>MIN('Muestras'!$AA$2:$AA$31)</x:f>
        <x:v>2.514</x:v>
      </x:c>
      <x:c r="D26" s="8" t="n">
        <x:f>MAX('Muestras'!$AA$2:$AA$31)</x:f>
        <x:v>2.54</x:v>
      </x:c>
      <x:c r="E26" s="8" t="n">
        <x:f>AVERAGE('Muestras'!$AA$2:$AA$31)</x:f>
        <x:v>2.5284666666666666</x:v>
      </x:c>
      <x:c r="F26" s="8" t="n">
        <x:f>INDEX('Muestras'!$AA$2:$AA$31,1)</x:f>
        <x:v>2.538</x:v>
      </x:c>
      <x:c r="G26" s="8" t="n">
        <x:f>INDEX('Muestras'!$AA$2:$AA$31,30)</x:f>
        <x:v>2.527</x:v>
      </x:c>
      <x:c r="H26" t="str">
        <x:v>Sin ensayo funcional</x:v>
      </x:c>
      <x:c r="I26" t="str">
        <x:v>Variable capturada sin estímulo o patrón de referencia en esta sesión.</x:v>
      </x:c>
    </x:row>
    <x:row r="27">
      <x:c r="A27" t="str">
        <x:v>bateria_voltaje_v</x:v>
      </x:c>
      <x:c r="B27" t="n">
        <x:f>COUNT('Muestras'!$AB$2:$AB$31)</x:f>
        <x:v>30</x:v>
      </x:c>
      <x:c r="C27" s="8" t="n">
        <x:f>MIN('Muestras'!$AB$2:$AB$31)</x:f>
        <x:v>13.21</x:v>
      </x:c>
      <x:c r="D27" s="8" t="n">
        <x:f>MAX('Muestras'!$AB$2:$AB$31)</x:f>
        <x:v>13.35</x:v>
      </x:c>
      <x:c r="E27" s="8" t="n">
        <x:f>AVERAGE('Muestras'!$AB$2:$AB$31)</x:f>
        <x:v>13.286666666666665</x:v>
      </x:c>
      <x:c r="F27" s="8" t="n">
        <x:f>INDEX('Muestras'!$AB$2:$AB$31,1)</x:f>
        <x:v>13.34</x:v>
      </x:c>
      <x:c r="G27" s="8" t="n">
        <x:f>INDEX('Muestras'!$AB$2:$AB$31,30)</x:f>
        <x:v>13.28</x:v>
      </x:c>
      <x:c r="H27" t="str">
        <x:v>Pendiente P-08</x:v>
      </x:c>
      <x:c r="I27" t="str">
        <x:v>Comparar con multímetro en los mismos terminales.</x:v>
      </x:c>
    </x:row>
    <x:row r="28">
      <x:c r="A28" t="str">
        <x:v>pcb_armado</x:v>
      </x:c>
      <x:c r="B28" t="n">
        <x:f>COUNT('Muestras'!$AC$2:$AC$31)</x:f>
        <x:v>30</x:v>
      </x:c>
      <x:c r="C28" s="8" t="n">
        <x:f>MIN('Muestras'!$AC$2:$AC$31)</x:f>
        <x:v>0</x:v>
      </x:c>
      <x:c r="D28" s="8" t="n">
        <x:f>MAX('Muestras'!$AC$2:$AC$31)</x:f>
        <x:v>0</x:v>
      </x:c>
      <x:c r="E28" s="8" t="n">
        <x:f>AVERAGE('Muestras'!$AC$2:$AC$31)</x:f>
        <x:v>0</x:v>
      </x:c>
      <x:c r="F28" s="8" t="n">
        <x:f>INDEX('Muestras'!$AC$2:$AC$31,1)</x:f>
        <x:v>0</x:v>
      </x:c>
      <x:c r="G28" s="8" t="n">
        <x:f>INDEX('Muestras'!$AC$2:$AC$31,30)</x:f>
        <x:v>0</x:v>
      </x:c>
      <x:c r="H28" s="11" t="str">
        <x:v>Evidencia favorable</x:v>
      </x:c>
      <x:c r="I28" t="str">
        <x:v>Desarmado en todo el registro (0).</x:v>
      </x:c>
    </x:row>
    <x:row r="29">
      <x:c r="A29" t="str">
        <x:v>pcb_motor_pulso</x:v>
      </x:c>
      <x:c r="B29" t="n">
        <x:f>COUNT('Muestras'!$AD$2:$AD$31)</x:f>
        <x:v>30</x:v>
      </x:c>
      <x:c r="C29" s="8" t="n">
        <x:f>MIN('Muestras'!$AD$2:$AD$31)</x:f>
        <x:v>0</x:v>
      </x:c>
      <x:c r="D29" s="8" t="n">
        <x:f>MAX('Muestras'!$AD$2:$AD$31)</x:f>
        <x:v>0</x:v>
      </x:c>
      <x:c r="E29" s="8" t="n">
        <x:f>AVERAGE('Muestras'!$AD$2:$AD$31)</x:f>
        <x:v>0</x:v>
      </x:c>
      <x:c r="F29" s="8" t="n">
        <x:f>INDEX('Muestras'!$AD$2:$AD$31,1)</x:f>
        <x:v>0</x:v>
      </x:c>
      <x:c r="G29" s="8" t="n">
        <x:f>INDEX('Muestras'!$AD$2:$AD$31,30)</x:f>
        <x:v>0</x:v>
      </x:c>
      <x:c r="H29" t="str">
        <x:v>Sin ensayo funcional</x:v>
      </x:c>
      <x:c r="I29" t="str">
        <x:v>Variable capturada sin estímulo o patrón de referencia en esta sesión.</x:v>
      </x:c>
    </x:row>
    <x:row r="30">
      <x:c r="A30" t="str">
        <x:v>pcb_bomba_pulso</x:v>
      </x:c>
      <x:c r="B30" t="n">
        <x:f>COUNT('Muestras'!$AE$2:$AE$31)</x:f>
        <x:v>30</x:v>
      </x:c>
      <x:c r="C30" s="8" t="n">
        <x:f>MIN('Muestras'!$AE$2:$AE$31)</x:f>
        <x:v>0</x:v>
      </x:c>
      <x:c r="D30" s="8" t="n">
        <x:f>MAX('Muestras'!$AE$2:$AE$31)</x:f>
        <x:v>0</x:v>
      </x:c>
      <x:c r="E30" s="8" t="n">
        <x:f>AVERAGE('Muestras'!$AE$2:$AE$31)</x:f>
        <x:v>0</x:v>
      </x:c>
      <x:c r="F30" s="8" t="n">
        <x:f>INDEX('Muestras'!$AE$2:$AE$31,1)</x:f>
        <x:v>0</x:v>
      </x:c>
      <x:c r="G30" s="8" t="n">
        <x:f>INDEX('Muestras'!$AE$2:$AE$31,30)</x:f>
        <x:v>0</x:v>
      </x:c>
      <x:c r="H30" t="str">
        <x:v>Sin ensayo funcional</x:v>
      </x:c>
      <x:c r="I30" t="str">
        <x:v>Variable capturada sin estímulo o patrón de referencia en esta sesión.</x:v>
      </x:c>
    </x:row>
    <x:row r="31">
      <x:c r="A31" t="str">
        <x:v>pcb_do_pulso</x:v>
      </x:c>
      <x:c r="B31" t="n">
        <x:f>COUNT('Muestras'!$AF$2:$AF$31)</x:f>
        <x:v>30</x:v>
      </x:c>
      <x:c r="C31" s="8" t="n">
        <x:f>MIN('Muestras'!$AF$2:$AF$31)</x:f>
        <x:v>0</x:v>
      </x:c>
      <x:c r="D31" s="8" t="n">
        <x:f>MAX('Muestras'!$AF$2:$AF$31)</x:f>
        <x:v>0</x:v>
      </x:c>
      <x:c r="E31" s="8" t="n">
        <x:f>AVERAGE('Muestras'!$AF$2:$AF$31)</x:f>
        <x:v>0</x:v>
      </x:c>
      <x:c r="F31" s="8" t="n">
        <x:f>INDEX('Muestras'!$AF$2:$AF$31,1)</x:f>
        <x:v>0</x:v>
      </x:c>
      <x:c r="G31" s="8" t="n">
        <x:f>INDEX('Muestras'!$AF$2:$AF$31,30)</x:f>
        <x:v>0</x:v>
      </x:c>
      <x:c r="H31" t="str">
        <x:v>Sin ensayo funcional</x:v>
      </x:c>
      <x:c r="I31" t="str">
        <x:v>Variable capturada sin estímulo o patrón de referencia en esta sesión.</x:v>
      </x:c>
    </x:row>
    <x:row r="32">
      <x:c r="A32" t="str">
        <x:v>di1</x:v>
      </x:c>
      <x:c r="B32" t="n">
        <x:f>COUNT('Muestras'!$AG$2:$AG$31)</x:f>
        <x:v>30</x:v>
      </x:c>
      <x:c r="C32" s="8" t="n">
        <x:f>MIN('Muestras'!$AG$2:$AG$31)</x:f>
        <x:v>0</x:v>
      </x:c>
      <x:c r="D32" s="8" t="n">
        <x:f>MAX('Muestras'!$AG$2:$AG$31)</x:f>
        <x:v>0</x:v>
      </x:c>
      <x:c r="E32" s="8" t="n">
        <x:f>AVERAGE('Muestras'!$AG$2:$AG$31)</x:f>
        <x:v>0</x:v>
      </x:c>
      <x:c r="F32" s="8" t="n">
        <x:f>INDEX('Muestras'!$AG$2:$AG$31,1)</x:f>
        <x:v>0</x:v>
      </x:c>
      <x:c r="G32" s="8" t="n">
        <x:f>INDEX('Muestras'!$AG$2:$AG$31,30)</x:f>
        <x:v>0</x:v>
      </x:c>
      <x:c r="H32" t="str">
        <x:v>Sin ensayo funcional</x:v>
      </x:c>
      <x:c r="I32" t="str">
        <x:v>Variable capturada sin estímulo o patrón de referencia en esta sesión.</x:v>
      </x:c>
    </x:row>
    <x:row r="33">
      <x:c r="A33" t="str">
        <x:v>di2</x:v>
      </x:c>
      <x:c r="B33" t="n">
        <x:f>COUNT('Muestras'!$AH$2:$AH$31)</x:f>
        <x:v>30</x:v>
      </x:c>
      <x:c r="C33" s="8" t="n">
        <x:f>MIN('Muestras'!$AH$2:$AH$31)</x:f>
        <x:v>0</x:v>
      </x:c>
      <x:c r="D33" s="8" t="n">
        <x:f>MAX('Muestras'!$AH$2:$AH$31)</x:f>
        <x:v>0</x:v>
      </x:c>
      <x:c r="E33" s="8" t="n">
        <x:f>AVERAGE('Muestras'!$AH$2:$AH$31)</x:f>
        <x:v>0</x:v>
      </x:c>
      <x:c r="F33" s="8" t="n">
        <x:f>INDEX('Muestras'!$AH$2:$AH$31,1)</x:f>
        <x:v>0</x:v>
      </x:c>
      <x:c r="G33" s="8" t="n">
        <x:f>INDEX('Muestras'!$AH$2:$AH$31,30)</x:f>
        <x:v>0</x:v>
      </x:c>
      <x:c r="H33" t="str">
        <x:v>Sin ensayo funcional</x:v>
      </x:c>
      <x:c r="I33" t="str">
        <x:v>Variable capturada sin estímulo o patrón de referencia en esta sesión.</x:v>
      </x:c>
    </x:row>
    <x:row r="34">
      <x:c r="A34" t="str">
        <x:v>di3</x:v>
      </x:c>
      <x:c r="B34" t="n">
        <x:f>COUNT('Muestras'!$AI$2:$AI$31)</x:f>
        <x:v>30</x:v>
      </x:c>
      <x:c r="C34" s="8" t="n">
        <x:f>MIN('Muestras'!$AI$2:$AI$31)</x:f>
        <x:v>0</x:v>
      </x:c>
      <x:c r="D34" s="8" t="n">
        <x:f>MAX('Muestras'!$AI$2:$AI$31)</x:f>
        <x:v>0</x:v>
      </x:c>
      <x:c r="E34" s="8" t="n">
        <x:f>AVERAGE('Muestras'!$AI$2:$AI$31)</x:f>
        <x:v>0</x:v>
      </x:c>
      <x:c r="F34" s="8" t="n">
        <x:f>INDEX('Muestras'!$AI$2:$AI$31,1)</x:f>
        <x:v>0</x:v>
      </x:c>
      <x:c r="G34" s="8" t="n">
        <x:f>INDEX('Muestras'!$AI$2:$AI$31,30)</x:f>
        <x:v>0</x:v>
      </x:c>
      <x:c r="H34" t="str">
        <x:v>Sin ensayo funcional</x:v>
      </x:c>
      <x:c r="I34" t="str">
        <x:v>Variable capturada sin estímulo o patrón de referencia en esta sesión.</x:v>
      </x:c>
    </x:row>
    <x:row r="35">
      <x:c r="A35" t="str">
        <x:v>di4</x:v>
      </x:c>
      <x:c r="B35" t="n">
        <x:f>COUNT('Muestras'!$AJ$2:$AJ$31)</x:f>
        <x:v>30</x:v>
      </x:c>
      <x:c r="C35" s="8" t="n">
        <x:f>MIN('Muestras'!$AJ$2:$AJ$31)</x:f>
        <x:v>0</x:v>
      </x:c>
      <x:c r="D35" s="8" t="n">
        <x:f>MAX('Muestras'!$AJ$2:$AJ$31)</x:f>
        <x:v>0</x:v>
      </x:c>
      <x:c r="E35" s="8" t="n">
        <x:f>AVERAGE('Muestras'!$AJ$2:$AJ$31)</x:f>
        <x:v>0</x:v>
      </x:c>
      <x:c r="F35" s="8" t="n">
        <x:f>INDEX('Muestras'!$AJ$2:$AJ$31,1)</x:f>
        <x:v>0</x:v>
      </x:c>
      <x:c r="G35" s="8" t="n">
        <x:f>INDEX('Muestras'!$AJ$2:$AJ$31,30)</x:f>
        <x:v>0</x:v>
      </x:c>
      <x:c r="H35" t="str">
        <x:v>Sin ensayo funcional</x:v>
      </x:c>
      <x:c r="I35" t="str">
        <x:v>Variable capturada sin estímulo o patrón de referencia en esta sesión.</x:v>
      </x:c>
    </x:row>
    <x:row r="36">
      <x:c r="A36" t="str">
        <x:v>humedad_do</x:v>
      </x:c>
      <x:c r="B36" t="n">
        <x:f>COUNT('Muestras'!$AK$2:$AK$31)</x:f>
        <x:v>30</x:v>
      </x:c>
      <x:c r="C36" s="8" t="n">
        <x:f>MIN('Muestras'!$AK$2:$AK$31)</x:f>
        <x:v>0</x:v>
      </x:c>
      <x:c r="D36" s="8" t="n">
        <x:f>MAX('Muestras'!$AK$2:$AK$31)</x:f>
        <x:v>0</x:v>
      </x:c>
      <x:c r="E36" s="8" t="n">
        <x:f>AVERAGE('Muestras'!$AK$2:$AK$31)</x:f>
        <x:v>0</x:v>
      </x:c>
      <x:c r="F36" s="8" t="n">
        <x:f>INDEX('Muestras'!$AK$2:$AK$31,1)</x:f>
        <x:v>0</x:v>
      </x:c>
      <x:c r="G36" s="8" t="n">
        <x:f>INDEX('Muestras'!$AK$2:$AK$31,30)</x:f>
        <x:v>0</x:v>
      </x:c>
      <x:c r="H36" t="str">
        <x:v>Pendiente P-07</x:v>
      </x:c>
      <x:c r="I36" t="str">
        <x:v>Entrada digital en 0, no se aplicó estímulo controlado.</x:v>
      </x:c>
    </x:row>
    <x:row r="37">
      <x:c r="A37" t="str">
        <x:v>humedad_adc</x:v>
      </x:c>
      <x:c r="B37" t="n">
        <x:f>COUNT('Muestras'!$AL$2:$AL$31)</x:f>
        <x:v>30</x:v>
      </x:c>
      <x:c r="C37" s="8" t="n">
        <x:f>MIN('Muestras'!$AL$2:$AL$31)</x:f>
        <x:v>4095</x:v>
      </x:c>
      <x:c r="D37" s="8" t="n">
        <x:f>MAX('Muestras'!$AL$2:$AL$31)</x:f>
        <x:v>4095</x:v>
      </x:c>
      <x:c r="E37" s="8" t="n">
        <x:f>AVERAGE('Muestras'!$AL$2:$AL$31)</x:f>
        <x:v>4095</x:v>
      </x:c>
      <x:c r="F37" s="8" t="n">
        <x:f>INDEX('Muestras'!$AL$2:$AL$31,1)</x:f>
        <x:v>4095</x:v>
      </x:c>
      <x:c r="G37" s="8" t="n">
        <x:f>INDEX('Muestras'!$AL$2:$AL$31,30)</x:f>
        <x:v>4095</x:v>
      </x:c>
      <x:c r="H37" t="str">
        <x:v>Revisar P-07</x:v>
      </x:c>
      <x:c r="I37" t="str">
        <x:v>ADC saturado en 4095; verificar sensor y entradas.</x:v>
      </x:c>
    </x:row>
    <x:row r="38">
      <x:c r="A38" t="str">
        <x:v>humedad_pct</x:v>
      </x:c>
      <x:c r="B38" t="n">
        <x:f>COUNT('Muestras'!$AM$2:$AM$31)</x:f>
        <x:v>30</x:v>
      </x:c>
      <x:c r="C38" s="8" t="n">
        <x:f>MIN('Muestras'!$AM$2:$AM$31)</x:f>
        <x:v>0</x:v>
      </x:c>
      <x:c r="D38" s="8" t="n">
        <x:f>MAX('Muestras'!$AM$2:$AM$31)</x:f>
        <x:v>0</x:v>
      </x:c>
      <x:c r="E38" s="8" t="n">
        <x:f>AVERAGE('Muestras'!$AM$2:$AM$31)</x:f>
        <x:v>0</x:v>
      </x:c>
      <x:c r="F38" s="8" t="n">
        <x:f>INDEX('Muestras'!$AM$2:$AM$31,1)</x:f>
        <x:v>0</x:v>
      </x:c>
      <x:c r="G38" s="8" t="n">
        <x:f>INDEX('Muestras'!$AM$2:$AM$31,30)</x:f>
        <x:v>0</x:v>
      </x:c>
      <x:c r="H38" t="str">
        <x:v>No validada</x:v>
      </x:c>
      <x:c r="I38" t="str">
        <x:v>0 % calculado a partir del ADC saturado; no evidencia humedad física.</x:v>
      </x:c>
    </x:row>
    <x:row r="39">
      <x:c r="A39" t="str">
        <x:v>temperatura_c</x:v>
      </x:c>
      <x:c r="B39" t="n">
        <x:f>COUNT('Muestras'!$AN$2:$AN$31)</x:f>
        <x:v>30</x:v>
      </x:c>
      <x:c r="C39" s="8" t="n">
        <x:f>MIN('Muestras'!$AN$2:$AN$31)</x:f>
        <x:v>-100</x:v>
      </x:c>
      <x:c r="D39" s="8" t="n">
        <x:f>MAX('Muestras'!$AN$2:$AN$31)</x:f>
        <x:v>-100</x:v>
      </x:c>
      <x:c r="E39" s="8" t="n">
        <x:f>AVERAGE('Muestras'!$AN$2:$AN$31)</x:f>
        <x:v>-100</x:v>
      </x:c>
      <x:c r="F39" s="8" t="n">
        <x:f>INDEX('Muestras'!$AN$2:$AN$31,1)</x:f>
        <x:v>-100</x:v>
      </x:c>
      <x:c r="G39" s="8" t="n">
        <x:f>INDEX('Muestras'!$AN$2:$AN$31,30)</x:f>
        <x:v>-100</x:v>
      </x:c>
      <x:c r="H39" s="15" t="str">
        <x:v>Incidencia P-06</x:v>
      </x:c>
      <x:c r="I39" t="str">
        <x:v>−100 °C constante; probable código de error/lectura inválida.</x:v>
      </x:c>
    </x:row>
    <x:row r="40">
      <x:c r="A40" t="str">
        <x:v>servo_angulo</x:v>
      </x:c>
      <x:c r="B40" t="n">
        <x:f>COUNT('Muestras'!$AO$2:$AO$31)</x:f>
        <x:v>30</x:v>
      </x:c>
      <x:c r="C40" s="8" t="n">
        <x:f>MIN('Muestras'!$AO$2:$AO$31)</x:f>
        <x:v>0</x:v>
      </x:c>
      <x:c r="D40" s="8" t="n">
        <x:f>MAX('Muestras'!$AO$2:$AO$31)</x:f>
        <x:v>0</x:v>
      </x:c>
      <x:c r="E40" s="8" t="n">
        <x:f>AVERAGE('Muestras'!$AO$2:$AO$31)</x:f>
        <x:v>0</x:v>
      </x:c>
      <x:c r="F40" s="8" t="n">
        <x:f>INDEX('Muestras'!$AO$2:$AO$31,1)</x:f>
        <x:v>0</x:v>
      </x:c>
      <x:c r="G40" s="8" t="n">
        <x:f>INDEX('Muestras'!$AO$2:$AO$31,30)</x:f>
        <x:v>0</x:v>
      </x:c>
      <x:c r="H40" t="str">
        <x:v>Sin ensayo funcional</x:v>
      </x:c>
      <x:c r="I40" t="str">
        <x:v>Variable capturada sin estímulo o patrón de referencia en esta sesión.</x:v>
      </x:c>
    </x:row>
    <x:row r="41">
      <x:c r="A41" t="str">
        <x:v>servo_pwm_us</x:v>
      </x:c>
      <x:c r="B41" t="n">
        <x:f>COUNT('Muestras'!$AP$2:$AP$31)</x:f>
        <x:v>30</x:v>
      </x:c>
      <x:c r="C41" s="8" t="n">
        <x:f>MIN('Muestras'!$AP$2:$AP$31)</x:f>
        <x:v>1500</x:v>
      </x:c>
      <x:c r="D41" s="8" t="n">
        <x:f>MAX('Muestras'!$AP$2:$AP$31)</x:f>
        <x:v>1500</x:v>
      </x:c>
      <x:c r="E41" s="8" t="n">
        <x:f>AVERAGE('Muestras'!$AP$2:$AP$31)</x:f>
        <x:v>1500</x:v>
      </x:c>
      <x:c r="F41" s="8" t="n">
        <x:f>INDEX('Muestras'!$AP$2:$AP$31,1)</x:f>
        <x:v>1500</x:v>
      </x:c>
      <x:c r="G41" s="8" t="n">
        <x:f>INDEX('Muestras'!$AP$2:$AP$31,30)</x:f>
        <x:v>1500</x:v>
      </x:c>
      <x:c r="H41" t="str">
        <x:v>Sin ensayo funcional</x:v>
      </x:c>
      <x:c r="I41" t="str">
        <x:v>Variable capturada sin estímulo o patrón de referencia en esta sesión.</x:v>
      </x:c>
    </x:row>
    <x:row r="42">
      <x:c r="A42" t="str">
        <x:v>cmd_babor_rx_pct</x:v>
      </x:c>
      <x:c r="B42" t="n">
        <x:f>COUNT('Muestras'!$AQ$2:$AQ$31)</x:f>
        <x:v>30</x:v>
      </x:c>
      <x:c r="C42" s="8" t="n">
        <x:f>MIN('Muestras'!$AQ$2:$AQ$31)</x:f>
        <x:v>0</x:v>
      </x:c>
      <x:c r="D42" s="8" t="n">
        <x:f>MAX('Muestras'!$AQ$2:$AQ$31)</x:f>
        <x:v>0</x:v>
      </x:c>
      <x:c r="E42" s="8" t="n">
        <x:f>AVERAGE('Muestras'!$AQ$2:$AQ$31)</x:f>
        <x:v>0</x:v>
      </x:c>
      <x:c r="F42" s="8" t="n">
        <x:f>INDEX('Muestras'!$AQ$2:$AQ$31,1)</x:f>
        <x:v>0</x:v>
      </x:c>
      <x:c r="G42" s="8" t="n">
        <x:f>INDEX('Muestras'!$AQ$2:$AQ$31,30)</x:f>
        <x:v>0</x:v>
      </x:c>
      <x:c r="H42" t="str">
        <x:v>Sin ensayo funcional</x:v>
      </x:c>
      <x:c r="I42" t="str">
        <x:v>Variable capturada sin estímulo o patrón de referencia en esta sesión.</x:v>
      </x:c>
    </x:row>
    <x:row r="43">
      <x:c r="A43" t="str">
        <x:v>cmd_estribor_rx_pct</x:v>
      </x:c>
      <x:c r="B43" t="n">
        <x:f>COUNT('Muestras'!$AR$2:$AR$31)</x:f>
        <x:v>30</x:v>
      </x:c>
      <x:c r="C43" s="8" t="n">
        <x:f>MIN('Muestras'!$AR$2:$AR$31)</x:f>
        <x:v>0</x:v>
      </x:c>
      <x:c r="D43" s="8" t="n">
        <x:f>MAX('Muestras'!$AR$2:$AR$31)</x:f>
        <x:v>0</x:v>
      </x:c>
      <x:c r="E43" s="8" t="n">
        <x:f>AVERAGE('Muestras'!$AR$2:$AR$31)</x:f>
        <x:v>0</x:v>
      </x:c>
      <x:c r="F43" s="8" t="n">
        <x:f>INDEX('Muestras'!$AR$2:$AR$31,1)</x:f>
        <x:v>0</x:v>
      </x:c>
      <x:c r="G43" s="8" t="n">
        <x:f>INDEX('Muestras'!$AR$2:$AR$31,30)</x:f>
        <x:v>0</x:v>
      </x:c>
      <x:c r="H43" t="str">
        <x:v>Sin ensayo funcional</x:v>
      </x:c>
      <x:c r="I43" t="str">
        <x:v>Variable capturada sin estímulo o patrón de referencia en esta sesión.</x:v>
      </x:c>
    </x:row>
    <x:row r="44">
      <x:c r="A44" t="str">
        <x:v>cmd_camara_rx_deg</x:v>
      </x:c>
      <x:c r="B44" t="n">
        <x:f>COUNT('Muestras'!$AS$2:$AS$31)</x:f>
        <x:v>30</x:v>
      </x:c>
      <x:c r="C44" s="8" t="n">
        <x:f>MIN('Muestras'!$AS$2:$AS$31)</x:f>
        <x:v>0</x:v>
      </x:c>
      <x:c r="D44" s="8" t="n">
        <x:f>MAX('Muestras'!$AS$2:$AS$31)</x:f>
        <x:v>0</x:v>
      </x:c>
      <x:c r="E44" s="8" t="n">
        <x:f>AVERAGE('Muestras'!$AS$2:$AS$31)</x:f>
        <x:v>0</x:v>
      </x:c>
      <x:c r="F44" s="8" t="n">
        <x:f>INDEX('Muestras'!$AS$2:$AS$31,1)</x:f>
        <x:v>0</x:v>
      </x:c>
      <x:c r="G44" s="8" t="n">
        <x:f>INDEX('Muestras'!$AS$2:$AS$31,30)</x:f>
        <x:v>0</x:v>
      </x:c>
      <x:c r="H44" t="str">
        <x:v>Sin ensayo funcional</x:v>
      </x:c>
      <x:c r="I44" t="str">
        <x:v>Variable capturada sin estímulo o patrón de referencia en esta sesión.</x:v>
      </x:c>
    </x:row>
    <x:row r="45">
      <x:c r="A45" t="str">
        <x:v>motor_babor_aplicado_pct</x:v>
      </x:c>
      <x:c r="B45" t="n">
        <x:f>COUNT('Muestras'!$AT$2:$AT$31)</x:f>
        <x:v>30</x:v>
      </x:c>
      <x:c r="C45" s="8" t="n">
        <x:f>MIN('Muestras'!$AT$2:$AT$31)</x:f>
        <x:v>0</x:v>
      </x:c>
      <x:c r="D45" s="8" t="n">
        <x:f>MAX('Muestras'!$AT$2:$AT$31)</x:f>
        <x:v>0</x:v>
      </x:c>
      <x:c r="E45" s="8" t="n">
        <x:f>AVERAGE('Muestras'!$AT$2:$AT$31)</x:f>
        <x:v>0</x:v>
      </x:c>
      <x:c r="F45" s="8" t="n">
        <x:f>INDEX('Muestras'!$AT$2:$AT$31,1)</x:f>
        <x:v>0</x:v>
      </x:c>
      <x:c r="G45" s="8" t="n">
        <x:f>INDEX('Muestras'!$AT$2:$AT$31,30)</x:f>
        <x:v>0</x:v>
      </x:c>
      <x:c r="H45" t="str">
        <x:v>Sin ensayo funcional</x:v>
      </x:c>
      <x:c r="I45" t="str">
        <x:v>Variable capturada sin estímulo o patrón de referencia en esta sesión.</x:v>
      </x:c>
    </x:row>
    <x:row r="46">
      <x:c r="A46" t="str">
        <x:v>motor_estribor_aplicado_pct</x:v>
      </x:c>
      <x:c r="B46" t="n">
        <x:f>COUNT('Muestras'!$AU$2:$AU$31)</x:f>
        <x:v>30</x:v>
      </x:c>
      <x:c r="C46" s="8" t="n">
        <x:f>MIN('Muestras'!$AU$2:$AU$31)</x:f>
        <x:v>0</x:v>
      </x:c>
      <x:c r="D46" s="8" t="n">
        <x:f>MAX('Muestras'!$AU$2:$AU$31)</x:f>
        <x:v>0</x:v>
      </x:c>
      <x:c r="E46" s="8" t="n">
        <x:f>AVERAGE('Muestras'!$AU$2:$AU$31)</x:f>
        <x:v>0</x:v>
      </x:c>
      <x:c r="F46" s="8" t="n">
        <x:f>INDEX('Muestras'!$AU$2:$AU$31,1)</x:f>
        <x:v>0</x:v>
      </x:c>
      <x:c r="G46" s="8" t="n">
        <x:f>INDEX('Muestras'!$AU$2:$AU$31,30)</x:f>
        <x:v>0</x:v>
      </x:c>
      <x:c r="H46" t="str">
        <x:v>Sin ensayo funcional</x:v>
      </x:c>
      <x:c r="I46" t="str">
        <x:v>Variable capturada sin estímulo o patrón de referencia en esta sesión.</x:v>
      </x:c>
    </x:row>
    <x:row r="47">
      <x:c r="A47" t="str">
        <x:v>motores_pwm_activos</x:v>
      </x:c>
      <x:c r="B47" t="n">
        <x:f>COUNT('Muestras'!$AV$2:$AV$31)</x:f>
        <x:v>30</x:v>
      </x:c>
      <x:c r="C47" s="8" t="n">
        <x:f>MIN('Muestras'!$AV$2:$AV$31)</x:f>
        <x:v>1</x:v>
      </x:c>
      <x:c r="D47" s="8" t="n">
        <x:f>MAX('Muestras'!$AV$2:$AV$31)</x:f>
        <x:v>1</x:v>
      </x:c>
      <x:c r="E47" s="8" t="n">
        <x:f>AVERAGE('Muestras'!$AV$2:$AV$31)</x:f>
        <x:v>1</x:v>
      </x:c>
      <x:c r="F47" s="8" t="n">
        <x:f>INDEX('Muestras'!$AV$2:$AV$31,1)</x:f>
        <x:v>1</x:v>
      </x:c>
      <x:c r="G47" s="8" t="n">
        <x:f>INDEX('Muestras'!$AV$2:$AV$31,30)</x:f>
        <x:v>1</x:v>
      </x:c>
      <x:c r="H47" t="str">
        <x:v>Precaución</x:v>
      </x:c>
      <x:c r="I47" t="str">
        <x:v>Firmware indica PWM habilitado; mantener propulsores desconectados.</x:v>
      </x:c>
    </x:row>
    <x:row r="48">
      <x:c r="A48" t="str">
        <x:v>motor_babor_pwm_us</x:v>
      </x:c>
      <x:c r="B48" t="n">
        <x:f>COUNT('Muestras'!$AW$2:$AW$31)</x:f>
        <x:v>30</x:v>
      </x:c>
      <x:c r="C48" s="8" t="n">
        <x:f>MIN('Muestras'!$AW$2:$AW$31)</x:f>
        <x:v>1500</x:v>
      </x:c>
      <x:c r="D48" s="8" t="n">
        <x:f>MAX('Muestras'!$AW$2:$AW$31)</x:f>
        <x:v>1500</x:v>
      </x:c>
      <x:c r="E48" s="8" t="n">
        <x:f>AVERAGE('Muestras'!$AW$2:$AW$31)</x:f>
        <x:v>1500</x:v>
      </x:c>
      <x:c r="F48" s="8" t="n">
        <x:f>INDEX('Muestras'!$AW$2:$AW$31,1)</x:f>
        <x:v>1500</x:v>
      </x:c>
      <x:c r="G48" s="8" t="n">
        <x:f>INDEX('Muestras'!$AW$2:$AW$31,30)</x:f>
        <x:v>1500</x:v>
      </x:c>
      <x:c r="H48" t="str">
        <x:v>Referencia software</x:v>
      </x:c>
      <x:c r="I48" t="str">
        <x:v>Consigna 1500 µs; no se midió forma de onda con instrumento.</x:v>
      </x:c>
    </x:row>
    <x:row r="49">
      <x:c r="A49" t="str">
        <x:v>motor_estribor_pwm_us</x:v>
      </x:c>
      <x:c r="B49" t="n">
        <x:f>COUNT('Muestras'!$AX$2:$AX$31)</x:f>
        <x:v>30</x:v>
      </x:c>
      <x:c r="C49" s="8" t="n">
        <x:f>MIN('Muestras'!$AX$2:$AX$31)</x:f>
        <x:v>1500</x:v>
      </x:c>
      <x:c r="D49" s="8" t="n">
        <x:f>MAX('Muestras'!$AX$2:$AX$31)</x:f>
        <x:v>1500</x:v>
      </x:c>
      <x:c r="E49" s="8" t="n">
        <x:f>AVERAGE('Muestras'!$AX$2:$AX$31)</x:f>
        <x:v>1500</x:v>
      </x:c>
      <x:c r="F49" s="8" t="n">
        <x:f>INDEX('Muestras'!$AX$2:$AX$31,1)</x:f>
        <x:v>1500</x:v>
      </x:c>
      <x:c r="G49" s="8" t="n">
        <x:f>INDEX('Muestras'!$AX$2:$AX$31,30)</x:f>
        <x:v>1500</x:v>
      </x:c>
      <x:c r="H49" t="str">
        <x:v>Referencia software</x:v>
      </x:c>
      <x:c r="I49" t="str">
        <x:v>Consigna 1500 µs; no se midió forma de onda con instrumento.</x:v>
      </x:c>
    </x:row>
    <x:row r="50">
      <x:c r="A50" t="str">
        <x:v>parada_rx</x:v>
      </x:c>
      <x:c r="B50" t="n">
        <x:f>COUNT('Muestras'!$AY$2:$AY$31)</x:f>
        <x:v>30</x:v>
      </x:c>
      <x:c r="C50" s="8" t="n">
        <x:f>MIN('Muestras'!$AY$2:$AY$31)</x:f>
        <x:v>0</x:v>
      </x:c>
      <x:c r="D50" s="8" t="n">
        <x:f>MAX('Muestras'!$AY$2:$AY$31)</x:f>
        <x:v>0</x:v>
      </x:c>
      <x:c r="E50" s="8" t="n">
        <x:f>AVERAGE('Muestras'!$AY$2:$AY$31)</x:f>
        <x:v>0</x:v>
      </x:c>
      <x:c r="F50" s="8" t="n">
        <x:f>INDEX('Muestras'!$AY$2:$AY$31,1)</x:f>
        <x:v>0</x:v>
      </x:c>
      <x:c r="G50" s="8" t="n">
        <x:f>INDEX('Muestras'!$AY$2:$AY$31,30)</x:f>
        <x:v>0</x:v>
      </x:c>
      <x:c r="H50" t="str">
        <x:v>Sin ensayo funcional</x:v>
      </x:c>
      <x:c r="I50" t="str">
        <x:v>Variable capturada sin estímulo o patrón de referencia en esta sesión.</x:v>
      </x:c>
    </x:row>
    <x:row r="51">
      <x:c r="A51" t="str">
        <x:v>enlace_tierra_ok</x:v>
      </x:c>
      <x:c r="B51" t="n">
        <x:f>COUNT('Muestras'!$AZ$2:$AZ$31)</x:f>
        <x:v>30</x:v>
      </x:c>
      <x:c r="C51" s="8" t="n">
        <x:f>MIN('Muestras'!$AZ$2:$AZ$31)</x:f>
        <x:v>0</x:v>
      </x:c>
      <x:c r="D51" s="8" t="n">
        <x:f>MAX('Muestras'!$AZ$2:$AZ$31)</x:f>
        <x:v>0</x:v>
      </x:c>
      <x:c r="E51" s="8" t="n">
        <x:f>AVERAGE('Muestras'!$AZ$2:$AZ$31)</x:f>
        <x:v>0</x:v>
      </x:c>
      <x:c r="F51" s="8" t="n">
        <x:f>INDEX('Muestras'!$AZ$2:$AZ$31,1)</x:f>
        <x:v>0</x:v>
      </x:c>
      <x:c r="G51" s="8" t="n">
        <x:f>INDEX('Muestras'!$AZ$2:$AZ$31,30)</x:f>
        <x:v>0</x:v>
      </x:c>
      <x:c r="H51" t="str">
        <x:v>Contexto</x:v>
      </x:c>
      <x:c r="I51" t="str">
        <x:v>Enlace remoto no comprobado en esta sesión.</x:v>
      </x:c>
    </x:row>
    <x:row r="52">
      <x:c r="A52" t="str">
        <x:v>failsafe_tierra</x:v>
      </x:c>
      <x:c r="B52" t="n">
        <x:f>COUNT('Muestras'!$BA$2:$BA$31)</x:f>
        <x:v>30</x:v>
      </x:c>
      <x:c r="C52" s="8" t="n">
        <x:f>MIN('Muestras'!$BA$2:$BA$31)</x:f>
        <x:v>1</x:v>
      </x:c>
      <x:c r="D52" s="8" t="n">
        <x:f>MAX('Muestras'!$BA$2:$BA$31)</x:f>
        <x:v>1</x:v>
      </x:c>
      <x:c r="E52" s="8" t="n">
        <x:f>AVERAGE('Muestras'!$BA$2:$BA$31)</x:f>
        <x:v>1</x:v>
      </x:c>
      <x:c r="F52" s="8" t="n">
        <x:f>INDEX('Muestras'!$BA$2:$BA$31,1)</x:f>
        <x:v>1</x:v>
      </x:c>
      <x:c r="G52" s="8" t="n">
        <x:f>INDEX('Muestras'!$BA$2:$BA$31,30)</x:f>
        <x:v>1</x:v>
      </x:c>
      <x:c r="H52" t="str">
        <x:v>Contexto</x:v>
      </x:c>
      <x:c r="I52" t="str">
        <x:v>Failsafe=1 con enlace remoto ausente; no implica fallo de radio probado.</x:v>
      </x:c>
    </x:row>
    <x:row r="53">
      <x:c r="A53" t="str">
        <x:v>pusvu_rx_validas</x:v>
      </x:c>
      <x:c r="B53" t="n">
        <x:f>COUNT('Muestras'!$BB$2:$BB$31)</x:f>
        <x:v>30</x:v>
      </x:c>
      <x:c r="C53" s="8" t="n">
        <x:f>MIN('Muestras'!$BB$2:$BB$31)</x:f>
        <x:v>0</x:v>
      </x:c>
      <x:c r="D53" s="8" t="n">
        <x:f>MAX('Muestras'!$BB$2:$BB$31)</x:f>
        <x:v>0</x:v>
      </x:c>
      <x:c r="E53" s="8" t="n">
        <x:f>AVERAGE('Muestras'!$BB$2:$BB$31)</x:f>
        <x:v>0</x:v>
      </x:c>
      <x:c r="F53" s="8" t="n">
        <x:f>INDEX('Muestras'!$BB$2:$BB$31,1)</x:f>
        <x:v>0</x:v>
      </x:c>
      <x:c r="G53" s="8" t="n">
        <x:f>INDEX('Muestras'!$BB$2:$BB$31,30)</x:f>
        <x:v>0</x:v>
      </x:c>
      <x:c r="H53" t="str">
        <x:v>Sin ensayo funcional</x:v>
      </x:c>
      <x:c r="I53" t="str">
        <x:v>Variable capturada sin estímulo o patrón de referencia en esta sesión.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54" hidden="0" customWidth="1"/>
    <x:col min="5" max="5" width="66" hidden="0" customWidth="1"/>
    <x:col min="6" max="6" width="18" hidden="0" customWidth="1"/>
  </x:cols>
  <x:sheetData>
    <x:row r="1" ht="24" customHeight="1">
      <x:c r="A1" s="4" t="str">
        <x:v>ID</x:v>
      </x:c>
      <x:c r="B1" s="4" t="str">
        <x:v>Caso</x:v>
      </x:c>
      <x:c r="C1" s="4" t="str">
        <x:v>Observación</x:v>
      </x:c>
      <x:c r="D1" s="4" t="str">
        <x:v>Evidencia</x:v>
      </x:c>
      <x:c r="E1" s="4" t="str">
        <x:v>Acción y control</x:v>
      </x:c>
      <x:c r="F1" s="4" t="str">
        <x:v>Estado</x:v>
      </x:c>
    </x:row>
    <x:row r="2" ht="43" customHeight="1">
      <x:c r="A2" s="28" t="str">
        <x:v>INC-001</x:v>
      </x:c>
      <x:c r="B2" s="28" t="str">
        <x:v>P-02</x:v>
      </x:c>
      <x:c r="C2" s="28" t="str">
        <x:v>HardFault previo / STKOF</x:v>
      </x:c>
      <x:c r="D2" s="28" t="str">
        <x:v>Corregido en build local: pila 8 KB; Flash 1 MB</x:v>
      </x:c>
      <x:c r="E2" s="28" t="str">
        <x:v>Telemetría actual confirma ejecución; aún no demuestra ausencia de reincidencia</x:v>
      </x:c>
      <x:c r="F2" s="28" t="str">
        <x:v>ABIERTA</x:v>
      </x:c>
    </x:row>
    <x:row r="3" ht="43" customHeight="1">
      <x:c r="A3" s="28" t="str">
        <x:v>INC-002</x:v>
      </x:c>
      <x:c r="B3" s="28" t="str">
        <x:v>P-05</x:v>
      </x:c>
      <x:c r="C3" s="28" t="str">
        <x:v>GNSS sin bytes recibidos</x:v>
      </x:c>
      <x:c r="D3" s="28" t="str">
        <x:v>gnss_rx_eventos=0; gnss_rx_bytes=0 (30/30)</x:v>
      </x:c>
      <x:c r="E3" s="28" t="str">
        <x:v>Verificar alimentación GNSS, TX→USART2 RX, GND, 9600 8N1</x:v>
      </x:c>
      <x:c r="F3" s="28" t="str">
        <x:v>ABIERTA</x:v>
      </x:c>
    </x:row>
    <x:row r="4" ht="43" customHeight="1">
      <x:c r="A4" s="28" t="str">
        <x:v>INC-003</x:v>
      </x:c>
      <x:c r="B4" s="28" t="str">
        <x:v>P-06</x:v>
      </x:c>
      <x:c r="C4" s="28" t="str">
        <x:v>Temperatura inválida</x:v>
      </x:c>
      <x:c r="D4" s="28" t="str">
        <x:v>−100 °C (30/30)</x:v>
      </x:c>
      <x:c r="E4" s="28" t="str">
        <x:v>Verificar J22, resistencia pull-up, sensor y secuencia 1-Wire</x:v>
      </x:c>
      <x:c r="F4" s="28" t="str">
        <x:v>ABIERTA</x:v>
      </x:c>
    </x:row>
    <x:row r="5" ht="43" customHeight="1">
      <x:c r="A5" s="28" t="str">
        <x:v>INC-004</x:v>
      </x:c>
      <x:c r="B5" s="28" t="str">
        <x:v>P-07</x:v>
      </x:c>
      <x:c r="C5" s="28" t="str">
        <x:v>Señal humedad saturada</x:v>
      </x:c>
      <x:c r="D5" s="28" t="str">
        <x:v>humedad_adc=4095; humedad_pct=0 (30/30)</x:v>
      </x:c>
      <x:c r="E5" s="28" t="str">
        <x:v>Inspeccionar sensor, cable, nivel analógico y canal PC3</x:v>
      </x:c>
      <x:c r="F5" s="28" t="str">
        <x:v>ABIERTA</x:v>
      </x:c>
    </x:row>
    <x:row r="6" ht="43" customHeight="1">
      <x:c r="A6" s="28" t="str">
        <x:v>INC-005</x:v>
      </x:c>
      <x:c r="B6" s="28" t="str">
        <x:v>P-09</x:v>
      </x:c>
      <x:c r="C6" s="28" t="str">
        <x:v>Corriente físicamente sospechosa</x:v>
      </x:c>
      <x:c r="D6" s="28" t="str">
        <x:v>133,51–139,18 A sin ensayo de carga</x:v>
      </x:c>
      <x:c r="E6" s="28" t="str">
        <x:v>Revisar LEM, offset/calibración, alimentación y PA0 ADC</x:v>
      </x:c>
      <x:c r="F6" s="28" t="str">
        <x:v>ABIERTA</x:v>
      </x:c>
    </x:row>
    <x:row r="7" ht="43" customHeight="1">
      <x:c r="A7" s="28" t="str">
        <x:v>INC-006</x:v>
      </x:c>
      <x:c r="B7" s="28" t="str">
        <x:v>P-08</x:v>
      </x:c>
      <x:c r="C7" s="28" t="str">
        <x:v>Lectura batería no contrastada</x:v>
      </x:c>
      <x:c r="D7" s="28" t="str">
        <x:v>13,21–13,35 V</x:v>
      </x:c>
      <x:c r="E7" s="28" t="str">
        <x:v>Comparar con multímetro simultáneo</x:v>
      </x:c>
      <x:c r="F7" s="28" t="str">
        <x:v>PENDIENTE</x:v>
      </x:c>
    </x:row>
    <x:row r="8" ht="43" customHeight="1">
      <x:c r="A8" s="28" t="str">
        <x:v>INC-007</x:v>
      </x:c>
      <x:c r="B8" s="28" t="str">
        <x:v>P-03</x:v>
      </x:c>
      <x:c r="C8" s="28" t="str">
        <x:v>Comandos seriales no comprobados</x:v>
      </x:c>
      <x:c r="D8" s="28" t="str">
        <x:v>Solo trama TX registrada</x:v>
      </x:c>
      <x:c r="E8" s="28" t="str">
        <x:v>Enviar PCB STATUS con LF, registrar respuesta</x:v>
      </x:c>
      <x:c r="F8" s="28" t="str">
        <x:v>PENDIENTE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</x:cols>
  <x:sheetData>
    <x:row r="1" ht="24" customHeight="1">
      <x:c r="A1" s="4" t="str">
        <x:v>Muestra</x:v>
      </x:c>
      <x:c r="B1" s="4" t="str">
        <x:v>Tiempo relativo (s)</x:v>
      </x:c>
      <x:c r="C1" s="4" t="str">
        <x:v>bomba_achique</x:v>
      </x:c>
      <x:c r="D1" s="4" t="str">
        <x:v>main_alive</x:v>
      </x:c>
      <x:c r="E1" s="4" t="str">
        <x:v>imu_ok</x:v>
      </x:c>
      <x:c r="F1" s="4" t="str">
        <x:v>imu_addr</x:v>
      </x:c>
      <x:c r="G1" s="4" t="str">
        <x:v>imu_data_ok</x:v>
      </x:c>
      <x:c r="H1" s="4" t="str">
        <x:v>roll</x:v>
      </x:c>
      <x:c r="I1" s="4" t="str">
        <x:v>pitch</x:v>
      </x:c>
      <x:c r="J1" s="4" t="str">
        <x:v>yaw</x:v>
      </x:c>
      <x:c r="K1" s="4" t="str">
        <x:v>gnss_rx_eventos</x:v>
      </x:c>
      <x:c r="L1" s="4" t="str">
        <x:v>gnss_rx_bytes</x:v>
      </x:c>
      <x:c r="M1" s="4" t="str">
        <x:v>gps_rmc_ok</x:v>
      </x:c>
      <x:c r="N1" s="4" t="str">
        <x:v>gps_gga_ok</x:v>
      </x:c>
      <x:c r="O1" s="4" t="str">
        <x:v>gps_fix</x:v>
      </x:c>
      <x:c r="P1" s="4" t="str">
        <x:v>gps_satelites</x:v>
      </x:c>
      <x:c r="Q1" s="4" t="str">
        <x:v>gps_hdop</x:v>
      </x:c>
      <x:c r="R1" s="4" t="str">
        <x:v>gps_latitud</x:v>
      </x:c>
      <x:c r="S1" s="4" t="str">
        <x:v>gps_longitud</x:v>
      </x:c>
      <x:c r="T1" s="4" t="str">
        <x:v>gps_altitud_m</x:v>
      </x:c>
      <x:c r="U1" s="4" t="str">
        <x:v>gps_velocidad_kph</x:v>
      </x:c>
      <x:c r="V1" s="4" t="str">
        <x:v>gps_rumbo</x:v>
      </x:c>
      <x:c r="W1" s="4" t="str">
        <x:v>corriente_adc</x:v>
      </x:c>
      <x:c r="X1" s="4" t="str">
        <x:v>corriente_voltaje_v</x:v>
      </x:c>
      <x:c r="Y1" s="4" t="str">
        <x:v>corriente_a</x:v>
      </x:c>
      <x:c r="Z1" s="4" t="str">
        <x:v>bateria_adc</x:v>
      </x:c>
      <x:c r="AA1" s="4" t="str">
        <x:v>bateria_adc_v</x:v>
      </x:c>
      <x:c r="AB1" s="4" t="str">
        <x:v>bateria_voltaje_v</x:v>
      </x:c>
      <x:c r="AC1" s="4" t="str">
        <x:v>pcb_armado</x:v>
      </x:c>
      <x:c r="AD1" s="4" t="str">
        <x:v>pcb_motor_pulso</x:v>
      </x:c>
      <x:c r="AE1" s="4" t="str">
        <x:v>pcb_bomba_pulso</x:v>
      </x:c>
      <x:c r="AF1" s="4" t="str">
        <x:v>pcb_do_pulso</x:v>
      </x:c>
      <x:c r="AG1" s="4" t="str">
        <x:v>di1</x:v>
      </x:c>
      <x:c r="AH1" s="4" t="str">
        <x:v>di2</x:v>
      </x:c>
      <x:c r="AI1" s="4" t="str">
        <x:v>di3</x:v>
      </x:c>
      <x:c r="AJ1" s="4" t="str">
        <x:v>di4</x:v>
      </x:c>
      <x:c r="AK1" s="4" t="str">
        <x:v>humedad_do</x:v>
      </x:c>
      <x:c r="AL1" s="4" t="str">
        <x:v>humedad_adc</x:v>
      </x:c>
      <x:c r="AM1" s="4" t="str">
        <x:v>humedad_pct</x:v>
      </x:c>
      <x:c r="AN1" s="4" t="str">
        <x:v>temperatura_c</x:v>
      </x:c>
      <x:c r="AO1" s="4" t="str">
        <x:v>servo_angulo</x:v>
      </x:c>
      <x:c r="AP1" s="4" t="str">
        <x:v>servo_pwm_us</x:v>
      </x:c>
      <x:c r="AQ1" s="4" t="str">
        <x:v>cmd_babor_rx_pct</x:v>
      </x:c>
      <x:c r="AR1" s="4" t="str">
        <x:v>cmd_estribor_rx_pct</x:v>
      </x:c>
      <x:c r="AS1" s="4" t="str">
        <x:v>cmd_camara_rx_deg</x:v>
      </x:c>
      <x:c r="AT1" s="4" t="str">
        <x:v>motor_babor_aplicado_pct</x:v>
      </x:c>
      <x:c r="AU1" s="4" t="str">
        <x:v>motor_estribor_aplicado_pct</x:v>
      </x:c>
      <x:c r="AV1" s="4" t="str">
        <x:v>motores_pwm_activos</x:v>
      </x:c>
      <x:c r="AW1" s="4" t="str">
        <x:v>motor_babor_pwm_us</x:v>
      </x:c>
      <x:c r="AX1" s="4" t="str">
        <x:v>motor_estribor_pwm_us</x:v>
      </x:c>
      <x:c r="AY1" s="4" t="str">
        <x:v>parada_rx</x:v>
      </x:c>
      <x:c r="AZ1" s="4" t="str">
        <x:v>enlace_tierra_ok</x:v>
      </x:c>
      <x:c r="BA1" s="4" t="str">
        <x:v>failsafe_tierra</x:v>
      </x:c>
      <x:c r="BB1" s="4" t="str">
        <x:v>pusvu_rx_validas</x:v>
      </x:c>
    </x:row>
    <x:row r="2">
      <x:c r="A2" t="n">
        <x:v>1</x:v>
      </x:c>
      <x:c r="B2" s="8" t="n">
        <x:v>0.034</x:v>
      </x:c>
      <x:c r="C2" s="8" t="n">
        <x:v>0</x:v>
      </x:c>
      <x:c r="D2" s="8" t="n">
        <x:v>771</x:v>
      </x:c>
      <x:c r="E2" s="8" t="n">
        <x:v>1</x:v>
      </x:c>
      <x:c r="F2" s="8" t="n">
        <x:v>75</x:v>
      </x:c>
      <x:c r="G2" s="8" t="n">
        <x:v>1</x:v>
      </x:c>
      <x:c r="H2" s="8" t="n">
        <x:v>2.53</x:v>
      </x:c>
      <x:c r="I2" s="8" t="n">
        <x:v>2.92</x:v>
      </x:c>
      <x:c r="J2" s="8" t="n">
        <x:v>-132.36</x:v>
      </x:c>
      <x:c r="K2" s="8" t="n">
        <x:v>0</x:v>
      </x:c>
      <x:c r="L2" s="8" t="n">
        <x:v>0</x:v>
      </x:c>
      <x:c r="M2" s="8" t="n">
        <x:v>0</x:v>
      </x:c>
      <x:c r="N2" s="8" t="n">
        <x:v>0</x:v>
      </x:c>
      <x:c r="O2" s="8" t="n">
        <x:v>0</x:v>
      </x:c>
      <x:c r="P2" s="8" t="n">
        <x:v>0</x:v>
      </x:c>
      <x:c r="Q2" s="8" t="n">
        <x:v>0</x:v>
      </x:c>
      <x:c r="R2" s="8" t="n">
        <x:v>0</x:v>
      </x:c>
      <x:c r="S2" s="8" t="n">
        <x:v>0</x:v>
      </x:c>
      <x:c r="T2" s="8" t="n">
        <x:v>0</x:v>
      </x:c>
      <x:c r="U2" s="8" t="n">
        <x:v>0</x:v>
      </x:c>
      <x:c r="V2" s="8" t="n">
        <x:v>0</x:v>
      </x:c>
      <x:c r="W2" s="8" t="n">
        <x:v>3639</x:v>
      </x:c>
      <x:c r="X2" s="8" t="n">
        <x:v>2.933</x:v>
      </x:c>
      <x:c r="Y2" s="8" t="n">
        <x:v>138.41</x:v>
      </x:c>
      <x:c r="Z2" s="8" t="n">
        <x:v>3150</x:v>
      </x:c>
      <x:c r="AA2" s="8" t="n">
        <x:v>2.538</x:v>
      </x:c>
      <x:c r="AB2" s="8" t="n">
        <x:v>13.34</x:v>
      </x:c>
      <x:c r="AC2" s="8" t="n">
        <x:v>0</x:v>
      </x:c>
      <x:c r="AD2" s="8" t="n">
        <x:v>0</x:v>
      </x:c>
      <x:c r="AE2" s="8" t="n">
        <x:v>0</x:v>
      </x:c>
      <x:c r="AF2" s="8" t="n">
        <x:v>0</x:v>
      </x:c>
      <x:c r="AG2" s="8" t="n">
        <x:v>0</x:v>
      </x:c>
      <x:c r="AH2" s="8" t="n">
        <x:v>0</x:v>
      </x:c>
      <x:c r="AI2" s="8" t="n">
        <x:v>0</x:v>
      </x:c>
      <x:c r="AJ2" s="8" t="n">
        <x:v>0</x:v>
      </x:c>
      <x:c r="AK2" s="8" t="n">
        <x:v>0</x:v>
      </x:c>
      <x:c r="AL2" s="8" t="n">
        <x:v>4095</x:v>
      </x:c>
      <x:c r="AM2" s="8" t="n">
        <x:v>0</x:v>
      </x:c>
      <x:c r="AN2" s="8" t="n">
        <x:v>-100</x:v>
      </x:c>
      <x:c r="AO2" s="8" t="n">
        <x:v>0</x:v>
      </x:c>
      <x:c r="AP2" s="8" t="n">
        <x:v>1500</x:v>
      </x:c>
      <x:c r="AQ2" s="8" t="n">
        <x:v>0</x:v>
      </x:c>
      <x:c r="AR2" s="8" t="n">
        <x:v>0</x:v>
      </x:c>
      <x:c r="AS2" s="8" t="n">
        <x:v>0</x:v>
      </x:c>
      <x:c r="AT2" s="8" t="n">
        <x:v>0</x:v>
      </x:c>
      <x:c r="AU2" s="8" t="n">
        <x:v>0</x:v>
      </x:c>
      <x:c r="AV2" s="8" t="n">
        <x:v>1</x:v>
      </x:c>
      <x:c r="AW2" s="8" t="n">
        <x:v>1500</x:v>
      </x:c>
      <x:c r="AX2" s="8" t="n">
        <x:v>1500</x:v>
      </x:c>
      <x:c r="AY2" s="8" t="n">
        <x:v>0</x:v>
      </x:c>
      <x:c r="AZ2" s="8" t="n">
        <x:v>0</x:v>
      </x:c>
      <x:c r="BA2" s="8" t="n">
        <x:v>1</x:v>
      </x:c>
      <x:c r="BB2" s="8" t="n">
        <x:v>0</x:v>
      </x:c>
    </x:row>
    <x:row r="3">
      <x:c r="A3" t="n">
        <x:v>2</x:v>
      </x:c>
      <x:c r="B3" s="8" t="n">
        <x:v>0.535</x:v>
      </x:c>
      <x:c r="C3" s="8" t="n">
        <x:v>0</x:v>
      </x:c>
      <x:c r="D3" s="8" t="n">
        <x:v>771</x:v>
      </x:c>
      <x:c r="E3" s="8" t="n">
        <x:v>1</x:v>
      </x:c>
      <x:c r="F3" s="8" t="n">
        <x:v>75</x:v>
      </x:c>
      <x:c r="G3" s="8" t="n">
        <x:v>1</x:v>
      </x:c>
      <x:c r="H3" s="8" t="n">
        <x:v>2.52</x:v>
      </x:c>
      <x:c r="I3" s="8" t="n">
        <x:v>2.92</x:v>
      </x:c>
      <x:c r="J3" s="8" t="n">
        <x:v>-132.36</x:v>
      </x:c>
      <x:c r="K3" s="8" t="n">
        <x:v>0</x:v>
      </x:c>
      <x:c r="L3" s="8" t="n">
        <x:v>0</x:v>
      </x:c>
      <x:c r="M3" s="8" t="n">
        <x:v>0</x:v>
      </x:c>
      <x:c r="N3" s="8" t="n">
        <x:v>0</x:v>
      </x:c>
      <x:c r="O3" s="8" t="n">
        <x:v>0</x:v>
      </x:c>
      <x:c r="P3" s="8" t="n">
        <x:v>0</x:v>
      </x:c>
      <x:c r="Q3" s="8" t="n">
        <x:v>0</x:v>
      </x:c>
      <x:c r="R3" s="8" t="n">
        <x:v>0</x:v>
      </x:c>
      <x:c r="S3" s="8" t="n">
        <x:v>0</x:v>
      </x:c>
      <x:c r="T3" s="8" t="n">
        <x:v>0</x:v>
      </x:c>
      <x:c r="U3" s="8" t="n">
        <x:v>0</x:v>
      </x:c>
      <x:c r="V3" s="8" t="n">
        <x:v>0</x:v>
      </x:c>
      <x:c r="W3" s="8" t="n">
        <x:v>3630</x:v>
      </x:c>
      <x:c r="X3" s="8" t="n">
        <x:v>2.925</x:v>
      </x:c>
      <x:c r="Y3" s="8" t="n">
        <x:v>136.09</x:v>
      </x:c>
      <x:c r="Z3" s="8" t="n">
        <x:v>3135</x:v>
      </x:c>
      <x:c r="AA3" s="8" t="n">
        <x:v>2.526</x:v>
      </x:c>
      <x:c r="AB3" s="8" t="n">
        <x:v>13.28</x:v>
      </x:c>
      <x:c r="AC3" s="8" t="n">
        <x:v>0</x:v>
      </x:c>
      <x:c r="AD3" s="8" t="n">
        <x:v>0</x:v>
      </x:c>
      <x:c r="AE3" s="8" t="n">
        <x:v>0</x:v>
      </x:c>
      <x:c r="AF3" s="8" t="n">
        <x:v>0</x:v>
      </x:c>
      <x:c r="AG3" s="8" t="n">
        <x:v>0</x:v>
      </x:c>
      <x:c r="AH3" s="8" t="n">
        <x:v>0</x:v>
      </x:c>
      <x:c r="AI3" s="8" t="n">
        <x:v>0</x:v>
      </x:c>
      <x:c r="AJ3" s="8" t="n">
        <x:v>0</x:v>
      </x:c>
      <x:c r="AK3" s="8" t="n">
        <x:v>0</x:v>
      </x:c>
      <x:c r="AL3" s="8" t="n">
        <x:v>4095</x:v>
      </x:c>
      <x:c r="AM3" s="8" t="n">
        <x:v>0</x:v>
      </x:c>
      <x:c r="AN3" s="8" t="n">
        <x:v>-100</x:v>
      </x:c>
      <x:c r="AO3" s="8" t="n">
        <x:v>0</x:v>
      </x:c>
      <x:c r="AP3" s="8" t="n">
        <x:v>1500</x:v>
      </x:c>
      <x:c r="AQ3" s="8" t="n">
        <x:v>0</x:v>
      </x:c>
      <x:c r="AR3" s="8" t="n">
        <x:v>0</x:v>
      </x:c>
      <x:c r="AS3" s="8" t="n">
        <x:v>0</x:v>
      </x:c>
      <x:c r="AT3" s="8" t="n">
        <x:v>0</x:v>
      </x:c>
      <x:c r="AU3" s="8" t="n">
        <x:v>0</x:v>
      </x:c>
      <x:c r="AV3" s="8" t="n">
        <x:v>1</x:v>
      </x:c>
      <x:c r="AW3" s="8" t="n">
        <x:v>1500</x:v>
      </x:c>
      <x:c r="AX3" s="8" t="n">
        <x:v>1500</x:v>
      </x:c>
      <x:c r="AY3" s="8" t="n">
        <x:v>0</x:v>
      </x:c>
      <x:c r="AZ3" s="8" t="n">
        <x:v>0</x:v>
      </x:c>
      <x:c r="BA3" s="8" t="n">
        <x:v>1</x:v>
      </x:c>
      <x:c r="BB3" s="8" t="n">
        <x:v>0</x:v>
      </x:c>
    </x:row>
    <x:row r="4">
      <x:c r="A4" t="n">
        <x:v>3</x:v>
      </x:c>
      <x:c r="B4" s="8" t="n">
        <x:v>1.035</x:v>
      </x:c>
      <x:c r="C4" s="8" t="n">
        <x:v>0</x:v>
      </x:c>
      <x:c r="D4" s="8" t="n">
        <x:v>772</x:v>
      </x:c>
      <x:c r="E4" s="8" t="n">
        <x:v>1</x:v>
      </x:c>
      <x:c r="F4" s="8" t="n">
        <x:v>75</x:v>
      </x:c>
      <x:c r="G4" s="8" t="n">
        <x:v>1</x:v>
      </x:c>
      <x:c r="H4" s="8" t="n">
        <x:v>2.53</x:v>
      </x:c>
      <x:c r="I4" s="8" t="n">
        <x:v>2.94</x:v>
      </x:c>
      <x:c r="J4" s="8" t="n">
        <x:v>-132.36</x:v>
      </x:c>
      <x:c r="K4" s="8" t="n">
        <x:v>0</x:v>
      </x:c>
      <x:c r="L4" s="8" t="n">
        <x:v>0</x:v>
      </x:c>
      <x:c r="M4" s="8" t="n">
        <x:v>0</x:v>
      </x:c>
      <x:c r="N4" s="8" t="n">
        <x:v>0</x:v>
      </x:c>
      <x:c r="O4" s="8" t="n">
        <x:v>0</x:v>
      </x:c>
      <x:c r="P4" s="8" t="n">
        <x:v>0</x:v>
      </x:c>
      <x:c r="Q4" s="8" t="n">
        <x:v>0</x:v>
      </x:c>
      <x:c r="R4" s="8" t="n">
        <x:v>0</x:v>
      </x:c>
      <x:c r="S4" s="8" t="n">
        <x:v>0</x:v>
      </x:c>
      <x:c r="T4" s="8" t="n">
        <x:v>0</x:v>
      </x:c>
      <x:c r="U4" s="8" t="n">
        <x:v>0</x:v>
      </x:c>
      <x:c r="V4" s="8" t="n">
        <x:v>0</x:v>
      </x:c>
      <x:c r="W4" s="8" t="n">
        <x:v>3625</x:v>
      </x:c>
      <x:c r="X4" s="8" t="n">
        <x:v>2.921</x:v>
      </x:c>
      <x:c r="Y4" s="8" t="n">
        <x:v>134.8</x:v>
      </x:c>
      <x:c r="Z4" s="8" t="n">
        <x:v>3142</x:v>
      </x:c>
      <x:c r="AA4" s="8" t="n">
        <x:v>2.532</x:v>
      </x:c>
      <x:c r="AB4" s="8" t="n">
        <x:v>13.31</x:v>
      </x:c>
      <x:c r="AC4" s="8" t="n">
        <x:v>0</x:v>
      </x:c>
      <x:c r="AD4" s="8" t="n">
        <x:v>0</x:v>
      </x:c>
      <x:c r="AE4" s="8" t="n">
        <x:v>0</x:v>
      </x:c>
      <x:c r="AF4" s="8" t="n">
        <x:v>0</x:v>
      </x:c>
      <x:c r="AG4" s="8" t="n">
        <x:v>0</x:v>
      </x:c>
      <x:c r="AH4" s="8" t="n">
        <x:v>0</x:v>
      </x:c>
      <x:c r="AI4" s="8" t="n">
        <x:v>0</x:v>
      </x:c>
      <x:c r="AJ4" s="8" t="n">
        <x:v>0</x:v>
      </x:c>
      <x:c r="AK4" s="8" t="n">
        <x:v>0</x:v>
      </x:c>
      <x:c r="AL4" s="8" t="n">
        <x:v>4095</x:v>
      </x:c>
      <x:c r="AM4" s="8" t="n">
        <x:v>0</x:v>
      </x:c>
      <x:c r="AN4" s="8" t="n">
        <x:v>-100</x:v>
      </x:c>
      <x:c r="AO4" s="8" t="n">
        <x:v>0</x:v>
      </x:c>
      <x:c r="AP4" s="8" t="n">
        <x:v>1500</x:v>
      </x:c>
      <x:c r="AQ4" s="8" t="n">
        <x:v>0</x:v>
      </x:c>
      <x:c r="AR4" s="8" t="n">
        <x:v>0</x:v>
      </x:c>
      <x:c r="AS4" s="8" t="n">
        <x:v>0</x:v>
      </x:c>
      <x:c r="AT4" s="8" t="n">
        <x:v>0</x:v>
      </x:c>
      <x:c r="AU4" s="8" t="n">
        <x:v>0</x:v>
      </x:c>
      <x:c r="AV4" s="8" t="n">
        <x:v>1</x:v>
      </x:c>
      <x:c r="AW4" s="8" t="n">
        <x:v>1500</x:v>
      </x:c>
      <x:c r="AX4" s="8" t="n">
        <x:v>1500</x:v>
      </x:c>
      <x:c r="AY4" s="8" t="n">
        <x:v>0</x:v>
      </x:c>
      <x:c r="AZ4" s="8" t="n">
        <x:v>0</x:v>
      </x:c>
      <x:c r="BA4" s="8" t="n">
        <x:v>1</x:v>
      </x:c>
      <x:c r="BB4" s="8" t="n">
        <x:v>0</x:v>
      </x:c>
    </x:row>
    <x:row r="5">
      <x:c r="A5" t="n">
        <x:v>4</x:v>
      </x:c>
      <x:c r="B5" s="8" t="n">
        <x:v>1.536</x:v>
      </x:c>
      <x:c r="C5" s="8" t="n">
        <x:v>0</x:v>
      </x:c>
      <x:c r="D5" s="8" t="n">
        <x:v>772</x:v>
      </x:c>
      <x:c r="E5" s="8" t="n">
        <x:v>1</x:v>
      </x:c>
      <x:c r="F5" s="8" t="n">
        <x:v>75</x:v>
      </x:c>
      <x:c r="G5" s="8" t="n">
        <x:v>1</x:v>
      </x:c>
      <x:c r="H5" s="8" t="n">
        <x:v>2.53</x:v>
      </x:c>
      <x:c r="I5" s="8" t="n">
        <x:v>2.93</x:v>
      </x:c>
      <x:c r="J5" s="8" t="n">
        <x:v>-132.36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 t="n">
        <x:v>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0</x:v>
      </x:c>
      <x:c r="W5" s="8" t="n">
        <x:v>3638</x:v>
      </x:c>
      <x:c r="X5" s="8" t="n">
        <x:v>2.932</x:v>
      </x:c>
      <x:c r="Y5" s="8" t="n">
        <x:v>138.15</x:v>
      </x:c>
      <x:c r="Z5" s="8" t="n">
        <x:v>3152</x:v>
      </x:c>
      <x:c r="AA5" s="8" t="n">
        <x:v>2.54</x:v>
      </x:c>
      <x:c r="AB5" s="8" t="n">
        <x:v>13.35</x:v>
      </x:c>
      <x:c r="AC5" s="8" t="n">
        <x:v>0</x:v>
      </x:c>
      <x:c r="AD5" s="8" t="n">
        <x:v>0</x:v>
      </x:c>
      <x:c r="AE5" s="8" t="n">
        <x:v>0</x:v>
      </x:c>
      <x:c r="AF5" s="8" t="n">
        <x:v>0</x:v>
      </x:c>
      <x:c r="AG5" s="8" t="n">
        <x:v>0</x:v>
      </x:c>
      <x:c r="AH5" s="8" t="n">
        <x:v>0</x:v>
      </x:c>
      <x:c r="AI5" s="8" t="n">
        <x:v>0</x:v>
      </x:c>
      <x:c r="AJ5" s="8" t="n">
        <x:v>0</x:v>
      </x:c>
      <x:c r="AK5" s="8" t="n">
        <x:v>0</x:v>
      </x:c>
      <x:c r="AL5" s="8" t="n">
        <x:v>4095</x:v>
      </x:c>
      <x:c r="AM5" s="8" t="n">
        <x:v>0</x:v>
      </x:c>
      <x:c r="AN5" s="8" t="n">
        <x:v>-100</x:v>
      </x:c>
      <x:c r="AO5" s="8" t="n">
        <x:v>0</x:v>
      </x:c>
      <x:c r="AP5" s="8" t="n">
        <x:v>1500</x:v>
      </x:c>
      <x:c r="AQ5" s="8" t="n">
        <x:v>0</x:v>
      </x:c>
      <x:c r="AR5" s="8" t="n">
        <x:v>0</x:v>
      </x:c>
      <x:c r="AS5" s="8" t="n">
        <x:v>0</x:v>
      </x:c>
      <x:c r="AT5" s="8" t="n">
        <x:v>0</x:v>
      </x:c>
      <x:c r="AU5" s="8" t="n">
        <x:v>0</x:v>
      </x:c>
      <x:c r="AV5" s="8" t="n">
        <x:v>1</x:v>
      </x:c>
      <x:c r="AW5" s="8" t="n">
        <x:v>1500</x:v>
      </x:c>
      <x:c r="AX5" s="8" t="n">
        <x:v>1500</x:v>
      </x:c>
      <x:c r="AY5" s="8" t="n">
        <x:v>0</x:v>
      </x:c>
      <x:c r="AZ5" s="8" t="n">
        <x:v>0</x:v>
      </x:c>
      <x:c r="BA5" s="8" t="n">
        <x:v>1</x:v>
      </x:c>
      <x:c r="BB5" s="8" t="n">
        <x:v>0</x:v>
      </x:c>
    </x:row>
    <x:row r="6">
      <x:c r="A6" t="n">
        <x:v>5</x:v>
      </x:c>
      <x:c r="B6" s="8" t="n">
        <x:v>2.036</x:v>
      </x:c>
      <x:c r="C6" s="8" t="n">
        <x:v>0</x:v>
      </x:c>
      <x:c r="D6" s="8" t="n">
        <x:v>773</x:v>
      </x:c>
      <x:c r="E6" s="8" t="n">
        <x:v>1</x:v>
      </x:c>
      <x:c r="F6" s="8" t="n">
        <x:v>75</x:v>
      </x:c>
      <x:c r="G6" s="8" t="n">
        <x:v>1</x:v>
      </x:c>
      <x:c r="H6" s="8" t="n">
        <x:v>2.53</x:v>
      </x:c>
      <x:c r="I6" s="8" t="n">
        <x:v>2.93</x:v>
      </x:c>
      <x:c r="J6" s="8" t="n">
        <x:v>-132.36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0</x:v>
      </x:c>
      <x:c r="W6" s="8" t="n">
        <x:v>3627</x:v>
      </x:c>
      <x:c r="X6" s="8" t="n">
        <x:v>2.923</x:v>
      </x:c>
      <x:c r="Y6" s="8" t="n">
        <x:v>135.31</x:v>
      </x:c>
      <x:c r="Z6" s="8" t="n">
        <x:v>3141</x:v>
      </x:c>
      <x:c r="AA6" s="8" t="n">
        <x:v>2.531</x:v>
      </x:c>
      <x:c r="AB6" s="8" t="n">
        <x:v>13.3</x:v>
      </x:c>
      <x:c r="AC6" s="8" t="n">
        <x:v>0</x:v>
      </x:c>
      <x:c r="AD6" s="8" t="n">
        <x:v>0</x:v>
      </x:c>
      <x:c r="AE6" s="8" t="n">
        <x:v>0</x:v>
      </x:c>
      <x:c r="AF6" s="8" t="n">
        <x:v>0</x:v>
      </x:c>
      <x:c r="AG6" s="8" t="n">
        <x:v>0</x:v>
      </x:c>
      <x:c r="AH6" s="8" t="n">
        <x:v>0</x:v>
      </x:c>
      <x:c r="AI6" s="8" t="n">
        <x:v>0</x:v>
      </x:c>
      <x:c r="AJ6" s="8" t="n">
        <x:v>0</x:v>
      </x:c>
      <x:c r="AK6" s="8" t="n">
        <x:v>0</x:v>
      </x:c>
      <x:c r="AL6" s="8" t="n">
        <x:v>4095</x:v>
      </x:c>
      <x:c r="AM6" s="8" t="n">
        <x:v>0</x:v>
      </x:c>
      <x:c r="AN6" s="8" t="n">
        <x:v>-100</x:v>
      </x:c>
      <x:c r="AO6" s="8" t="n">
        <x:v>0</x:v>
      </x:c>
      <x:c r="AP6" s="8" t="n">
        <x:v>1500</x:v>
      </x:c>
      <x:c r="AQ6" s="8" t="n">
        <x:v>0</x:v>
      </x:c>
      <x:c r="AR6" s="8" t="n">
        <x:v>0</x:v>
      </x:c>
      <x:c r="AS6" s="8" t="n">
        <x:v>0</x:v>
      </x:c>
      <x:c r="AT6" s="8" t="n">
        <x:v>0</x:v>
      </x:c>
      <x:c r="AU6" s="8" t="n">
        <x:v>0</x:v>
      </x:c>
      <x:c r="AV6" s="8" t="n">
        <x:v>1</x:v>
      </x:c>
      <x:c r="AW6" s="8" t="n">
        <x:v>1500</x:v>
      </x:c>
      <x:c r="AX6" s="8" t="n">
        <x:v>1500</x:v>
      </x:c>
      <x:c r="AY6" s="8" t="n">
        <x:v>0</x:v>
      </x:c>
      <x:c r="AZ6" s="8" t="n">
        <x:v>0</x:v>
      </x:c>
      <x:c r="BA6" s="8" t="n">
        <x:v>1</x:v>
      </x:c>
      <x:c r="BB6" s="8" t="n">
        <x:v>0</x:v>
      </x:c>
    </x:row>
    <x:row r="7">
      <x:c r="A7" t="n">
        <x:v>6</x:v>
      </x:c>
      <x:c r="B7" s="8" t="n">
        <x:v>2.537</x:v>
      </x:c>
      <x:c r="C7" s="8" t="n">
        <x:v>0</x:v>
      </x:c>
      <x:c r="D7" s="8" t="n">
        <x:v>773</x:v>
      </x:c>
      <x:c r="E7" s="8" t="n">
        <x:v>1</x:v>
      </x:c>
      <x:c r="F7" s="8" t="n">
        <x:v>75</x:v>
      </x:c>
      <x:c r="G7" s="8" t="n">
        <x:v>1</x:v>
      </x:c>
      <x:c r="H7" s="8" t="n">
        <x:v>2.53</x:v>
      </x:c>
      <x:c r="I7" s="8" t="n">
        <x:v>2.92</x:v>
      </x:c>
      <x:c r="J7" s="8" t="n">
        <x:v>-132.36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  <x:c r="O7" s="8" t="n">
        <x:v>0</x:v>
      </x:c>
      <x:c r="P7" s="8" t="n">
        <x:v>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0</x:v>
      </x:c>
      <x:c r="W7" s="8" t="n">
        <x:v>3627</x:v>
      </x:c>
      <x:c r="X7" s="8" t="n">
        <x:v>2.923</x:v>
      </x:c>
      <x:c r="Y7" s="8" t="n">
        <x:v>135.31</x:v>
      </x:c>
      <x:c r="Z7" s="8" t="n">
        <x:v>3136</x:v>
      </x:c>
      <x:c r="AA7" s="8" t="n">
        <x:v>2.527</x:v>
      </x:c>
      <x:c r="AB7" s="8" t="n">
        <x:v>13.28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0</x:v>
      </x:c>
      <x:c r="AK7" s="8" t="n">
        <x:v>0</x:v>
      </x:c>
      <x:c r="AL7" s="8" t="n">
        <x:v>4095</x:v>
      </x:c>
      <x:c r="AM7" s="8" t="n">
        <x:v>0</x:v>
      </x:c>
      <x:c r="AN7" s="8" t="n">
        <x:v>-100</x:v>
      </x:c>
      <x:c r="AO7" s="8" t="n">
        <x:v>0</x:v>
      </x:c>
      <x:c r="AP7" s="8" t="n">
        <x:v>1500</x:v>
      </x:c>
      <x:c r="AQ7" s="8" t="n">
        <x:v>0</x:v>
      </x:c>
      <x:c r="AR7" s="8" t="n">
        <x:v>0</x:v>
      </x:c>
      <x:c r="AS7" s="8" t="n">
        <x:v>0</x:v>
      </x:c>
      <x:c r="AT7" s="8" t="n">
        <x:v>0</x:v>
      </x:c>
      <x:c r="AU7" s="8" t="n">
        <x:v>0</x:v>
      </x:c>
      <x:c r="AV7" s="8" t="n">
        <x:v>1</x:v>
      </x:c>
      <x:c r="AW7" s="8" t="n">
        <x:v>1500</x:v>
      </x:c>
      <x:c r="AX7" s="8" t="n">
        <x:v>1500</x:v>
      </x:c>
      <x:c r="AY7" s="8" t="n">
        <x:v>0</x:v>
      </x:c>
      <x:c r="AZ7" s="8" t="n">
        <x:v>0</x:v>
      </x:c>
      <x:c r="BA7" s="8" t="n">
        <x:v>1</x:v>
      </x:c>
      <x:c r="BB7" s="8" t="n">
        <x:v>0</x:v>
      </x:c>
    </x:row>
    <x:row r="8">
      <x:c r="A8" t="n">
        <x:v>7</x:v>
      </x:c>
      <x:c r="B8" s="8" t="n">
        <x:v>3.037</x:v>
      </x:c>
      <x:c r="C8" s="8" t="n">
        <x:v>0</x:v>
      </x:c>
      <x:c r="D8" s="8" t="n">
        <x:v>774</x:v>
      </x:c>
      <x:c r="E8" s="8" t="n">
        <x:v>1</x:v>
      </x:c>
      <x:c r="F8" s="8" t="n">
        <x:v>75</x:v>
      </x:c>
      <x:c r="G8" s="8" t="n">
        <x:v>1</x:v>
      </x:c>
      <x:c r="H8" s="8" t="n">
        <x:v>2.52</x:v>
      </x:c>
      <x:c r="I8" s="8" t="n">
        <x:v>2.93</x:v>
      </x:c>
      <x:c r="J8" s="8" t="n">
        <x:v>-132.35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0</x:v>
      </x:c>
      <x:c r="W8" s="8" t="n">
        <x:v>3628</x:v>
      </x:c>
      <x:c r="X8" s="8" t="n">
        <x:v>2.924</x:v>
      </x:c>
      <x:c r="Y8" s="8" t="n">
        <x:v>135.57</x:v>
      </x:c>
      <x:c r="Z8" s="8" t="n">
        <x:v>3139</x:v>
      </x:c>
      <x:c r="AA8" s="8" t="n">
        <x:v>2.53</x:v>
      </x:c>
      <x:c r="AB8" s="8" t="n">
        <x:v>13.29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  <x:c r="AK8" s="8" t="n">
        <x:v>0</x:v>
      </x:c>
      <x:c r="AL8" s="8" t="n">
        <x:v>4095</x:v>
      </x:c>
      <x:c r="AM8" s="8" t="n">
        <x:v>0</x:v>
      </x:c>
      <x:c r="AN8" s="8" t="n">
        <x:v>-100</x:v>
      </x:c>
      <x:c r="AO8" s="8" t="n">
        <x:v>0</x:v>
      </x:c>
      <x:c r="AP8" s="8" t="n">
        <x:v>1500</x:v>
      </x:c>
      <x:c r="AQ8" s="8" t="n">
        <x:v>0</x:v>
      </x:c>
      <x:c r="AR8" s="8" t="n">
        <x:v>0</x:v>
      </x:c>
      <x:c r="AS8" s="8" t="n">
        <x:v>0</x:v>
      </x:c>
      <x:c r="AT8" s="8" t="n">
        <x:v>0</x:v>
      </x:c>
      <x:c r="AU8" s="8" t="n">
        <x:v>0</x:v>
      </x:c>
      <x:c r="AV8" s="8" t="n">
        <x:v>1</x:v>
      </x:c>
      <x:c r="AW8" s="8" t="n">
        <x:v>1500</x:v>
      </x:c>
      <x:c r="AX8" s="8" t="n">
        <x:v>1500</x:v>
      </x:c>
      <x:c r="AY8" s="8" t="n">
        <x:v>0</x:v>
      </x:c>
      <x:c r="AZ8" s="8" t="n">
        <x:v>0</x:v>
      </x:c>
      <x:c r="BA8" s="8" t="n">
        <x:v>1</x:v>
      </x:c>
      <x:c r="BB8" s="8" t="n">
        <x:v>0</x:v>
      </x:c>
    </x:row>
    <x:row r="9">
      <x:c r="A9" t="n">
        <x:v>8</x:v>
      </x:c>
      <x:c r="B9" s="8" t="n">
        <x:v>3.538</x:v>
      </x:c>
      <x:c r="C9" s="8" t="n">
        <x:v>0</x:v>
      </x:c>
      <x:c r="D9" s="8" t="n">
        <x:v>774</x:v>
      </x:c>
      <x:c r="E9" s="8" t="n">
        <x:v>1</x:v>
      </x:c>
      <x:c r="F9" s="8" t="n">
        <x:v>75</x:v>
      </x:c>
      <x:c r="G9" s="8" t="n">
        <x:v>1</x:v>
      </x:c>
      <x:c r="H9" s="8" t="n">
        <x:v>2.5</x:v>
      </x:c>
      <x:c r="I9" s="8" t="n">
        <x:v>2.96</x:v>
      </x:c>
      <x:c r="J9" s="8" t="n">
        <x:v>-132.35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0</x:v>
      </x:c>
      <x:c r="W9" s="8" t="n">
        <x:v>3628</x:v>
      </x:c>
      <x:c r="X9" s="8" t="n">
        <x:v>2.924</x:v>
      </x:c>
      <x:c r="Y9" s="8" t="n">
        <x:v>135.57</x:v>
      </x:c>
      <x:c r="Z9" s="8" t="n">
        <x:v>3139</x:v>
      </x:c>
      <x:c r="AA9" s="8" t="n">
        <x:v>2.53</x:v>
      </x:c>
      <x:c r="AB9" s="8" t="n">
        <x:v>13.29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  <x:c r="AK9" s="8" t="n">
        <x:v>0</x:v>
      </x:c>
      <x:c r="AL9" s="8" t="n">
        <x:v>4095</x:v>
      </x:c>
      <x:c r="AM9" s="8" t="n">
        <x:v>0</x:v>
      </x:c>
      <x:c r="AN9" s="8" t="n">
        <x:v>-100</x:v>
      </x:c>
      <x:c r="AO9" s="8" t="n">
        <x:v>0</x:v>
      </x:c>
      <x:c r="AP9" s="8" t="n">
        <x:v>1500</x:v>
      </x:c>
      <x:c r="AQ9" s="8" t="n">
        <x:v>0</x:v>
      </x:c>
      <x:c r="AR9" s="8" t="n">
        <x:v>0</x:v>
      </x:c>
      <x:c r="AS9" s="8" t="n">
        <x:v>0</x:v>
      </x:c>
      <x:c r="AT9" s="8" t="n">
        <x:v>0</x:v>
      </x:c>
      <x:c r="AU9" s="8" t="n">
        <x:v>0</x:v>
      </x:c>
      <x:c r="AV9" s="8" t="n">
        <x:v>1</x:v>
      </x:c>
      <x:c r="AW9" s="8" t="n">
        <x:v>1500</x:v>
      </x:c>
      <x:c r="AX9" s="8" t="n">
        <x:v>1500</x:v>
      </x:c>
      <x:c r="AY9" s="8" t="n">
        <x:v>0</x:v>
      </x:c>
      <x:c r="AZ9" s="8" t="n">
        <x:v>0</x:v>
      </x:c>
      <x:c r="BA9" s="8" t="n">
        <x:v>1</x:v>
      </x:c>
      <x:c r="BB9" s="8" t="n">
        <x:v>0</x:v>
      </x:c>
    </x:row>
    <x:row r="10">
      <x:c r="A10" t="n">
        <x:v>9</x:v>
      </x:c>
      <x:c r="B10" s="8" t="n">
        <x:v>4.038</x:v>
      </x:c>
      <x:c r="C10" s="8" t="n">
        <x:v>0</x:v>
      </x:c>
      <x:c r="D10" s="8" t="n">
        <x:v>775</x:v>
      </x:c>
      <x:c r="E10" s="8" t="n">
        <x:v>1</x:v>
      </x:c>
      <x:c r="F10" s="8" t="n">
        <x:v>75</x:v>
      </x:c>
      <x:c r="G10" s="8" t="n">
        <x:v>1</x:v>
      </x:c>
      <x:c r="H10" s="8" t="n">
        <x:v>2.5</x:v>
      </x:c>
      <x:c r="I10" s="8" t="n">
        <x:v>2.97</x:v>
      </x:c>
      <x:c r="J10" s="8" t="n">
        <x:v>-132.35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n">
        <x:v>3627</x:v>
      </x:c>
      <x:c r="X10" s="8" t="n">
        <x:v>2.923</x:v>
      </x:c>
      <x:c r="Y10" s="8" t="n">
        <x:v>135.31</x:v>
      </x:c>
      <x:c r="Z10" s="8" t="n">
        <x:v>3127</x:v>
      </x:c>
      <x:c r="AA10" s="8" t="n">
        <x:v>2.52</x:v>
      </x:c>
      <x:c r="AB10" s="8" t="n">
        <x:v>13.24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0</x:v>
      </x:c>
      <x:c r="AK10" s="8" t="n">
        <x:v>0</x:v>
      </x:c>
      <x:c r="AL10" s="8" t="n">
        <x:v>4095</x:v>
      </x:c>
      <x:c r="AM10" s="8" t="n">
        <x:v>0</x:v>
      </x:c>
      <x:c r="AN10" s="8" t="n">
        <x:v>-100</x:v>
      </x:c>
      <x:c r="AO10" s="8" t="n">
        <x:v>0</x:v>
      </x:c>
      <x:c r="AP10" s="8" t="n">
        <x:v>1500</x:v>
      </x:c>
      <x:c r="AQ10" s="8" t="n">
        <x:v>0</x:v>
      </x:c>
      <x:c r="AR10" s="8" t="n">
        <x:v>0</x:v>
      </x:c>
      <x:c r="AS10" s="8" t="n">
        <x:v>0</x:v>
      </x:c>
      <x:c r="AT10" s="8" t="n">
        <x:v>0</x:v>
      </x:c>
      <x:c r="AU10" s="8" t="n">
        <x:v>0</x:v>
      </x:c>
      <x:c r="AV10" s="8" t="n">
        <x:v>1</x:v>
      </x:c>
      <x:c r="AW10" s="8" t="n">
        <x:v>1500</x:v>
      </x:c>
      <x:c r="AX10" s="8" t="n">
        <x:v>1500</x:v>
      </x:c>
      <x:c r="AY10" s="8" t="n">
        <x:v>0</x:v>
      </x:c>
      <x:c r="AZ10" s="8" t="n">
        <x:v>0</x:v>
      </x:c>
      <x:c r="BA10" s="8" t="n">
        <x:v>1</x:v>
      </x:c>
      <x:c r="BB10" s="8" t="n">
        <x:v>0</x:v>
      </x:c>
    </x:row>
    <x:row r="11">
      <x:c r="A11" t="n">
        <x:v>10</x:v>
      </x:c>
      <x:c r="B11" s="8" t="n">
        <x:v>4.539</x:v>
      </x:c>
      <x:c r="C11" s="8" t="n">
        <x:v>0</x:v>
      </x:c>
      <x:c r="D11" s="8" t="n">
        <x:v>775</x:v>
      </x:c>
      <x:c r="E11" s="8" t="n">
        <x:v>1</x:v>
      </x:c>
      <x:c r="F11" s="8" t="n">
        <x:v>75</x:v>
      </x:c>
      <x:c r="G11" s="8" t="n">
        <x:v>1</x:v>
      </x:c>
      <x:c r="H11" s="8" t="n">
        <x:v>2.51</x:v>
      </x:c>
      <x:c r="I11" s="8" t="n">
        <x:v>2.95</x:v>
      </x:c>
      <x:c r="J11" s="8" t="n">
        <x:v>-132.35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0</x:v>
      </x:c>
      <x:c r="W11" s="8" t="n">
        <x:v>3633</x:v>
      </x:c>
      <x:c r="X11" s="8" t="n">
        <x:v>2.928</x:v>
      </x:c>
      <x:c r="Y11" s="8" t="n">
        <x:v>136.86</x:v>
      </x:c>
      <x:c r="Z11" s="8" t="n">
        <x:v>3146</x:v>
      </x:c>
      <x:c r="AA11" s="8" t="n">
        <x:v>2.535</x:v>
      </x:c>
      <x:c r="AB11" s="8" t="n">
        <x:v>13.32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0</x:v>
      </x:c>
      <x:c r="AK11" s="8" t="n">
        <x:v>0</x:v>
      </x:c>
      <x:c r="AL11" s="8" t="n">
        <x:v>4095</x:v>
      </x:c>
      <x:c r="AM11" s="8" t="n">
        <x:v>0</x:v>
      </x:c>
      <x:c r="AN11" s="8" t="n">
        <x:v>-100</x:v>
      </x:c>
      <x:c r="AO11" s="8" t="n">
        <x:v>0</x:v>
      </x:c>
      <x:c r="AP11" s="8" t="n">
        <x:v>1500</x:v>
      </x:c>
      <x:c r="AQ11" s="8" t="n">
        <x:v>0</x:v>
      </x:c>
      <x:c r="AR11" s="8" t="n">
        <x:v>0</x:v>
      </x:c>
      <x:c r="AS11" s="8" t="n">
        <x:v>0</x:v>
      </x:c>
      <x:c r="AT11" s="8" t="n">
        <x:v>0</x:v>
      </x:c>
      <x:c r="AU11" s="8" t="n">
        <x:v>0</x:v>
      </x:c>
      <x:c r="AV11" s="8" t="n">
        <x:v>1</x:v>
      </x:c>
      <x:c r="AW11" s="8" t="n">
        <x:v>1500</x:v>
      </x:c>
      <x:c r="AX11" s="8" t="n">
        <x:v>1500</x:v>
      </x:c>
      <x:c r="AY11" s="8" t="n">
        <x:v>0</x:v>
      </x:c>
      <x:c r="AZ11" s="8" t="n">
        <x:v>0</x:v>
      </x:c>
      <x:c r="BA11" s="8" t="n">
        <x:v>1</x:v>
      </x:c>
      <x:c r="BB11" s="8" t="n">
        <x:v>0</x:v>
      </x:c>
    </x:row>
    <x:row r="12">
      <x:c r="A12" t="n">
        <x:v>11</x:v>
      </x:c>
      <x:c r="B12" s="8" t="n">
        <x:v>5.039</x:v>
      </x:c>
      <x:c r="C12" s="8" t="n">
        <x:v>0</x:v>
      </x:c>
      <x:c r="D12" s="8" t="n">
        <x:v>776</x:v>
      </x:c>
      <x:c r="E12" s="8" t="n">
        <x:v>1</x:v>
      </x:c>
      <x:c r="F12" s="8" t="n">
        <x:v>75</x:v>
      </x:c>
      <x:c r="G12" s="8" t="n">
        <x:v>1</x:v>
      </x:c>
      <x:c r="H12" s="8" t="n">
        <x:v>2.49</x:v>
      </x:c>
      <x:c r="I12" s="8" t="n">
        <x:v>2.93</x:v>
      </x:c>
      <x:c r="J12" s="8" t="n">
        <x:v>-132.35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  <x:c r="O12" s="8" t="n">
        <x:v>0</x:v>
      </x:c>
      <x:c r="P12" s="8" t="n">
        <x:v>0</x:v>
      </x:c>
      <x:c r="Q12" s="8" t="n">
        <x:v>0</x:v>
      </x:c>
      <x:c r="R12" s="8" t="n">
        <x:v>0</x:v>
      </x:c>
      <x:c r="S12" s="8" t="n">
        <x:v>0</x:v>
      </x:c>
      <x:c r="T12" s="8" t="n">
        <x:v>0</x:v>
      </x:c>
      <x:c r="U12" s="8" t="n">
        <x:v>0</x:v>
      </x:c>
      <x:c r="V12" s="8" t="n">
        <x:v>0</x:v>
      </x:c>
      <x:c r="W12" s="8" t="n">
        <x:v>3620</x:v>
      </x:c>
      <x:c r="X12" s="8" t="n">
        <x:v>2.917</x:v>
      </x:c>
      <x:c r="Y12" s="8" t="n">
        <x:v>133.51</x:v>
      </x:c>
      <x:c r="Z12" s="8" t="n">
        <x:v>3120</x:v>
      </x:c>
      <x:c r="AA12" s="8" t="n">
        <x:v>2.514</x:v>
      </x:c>
      <x:c r="AB12" s="8" t="n">
        <x:v>13.21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  <x:c r="AK12" s="8" t="n">
        <x:v>0</x:v>
      </x:c>
      <x:c r="AL12" s="8" t="n">
        <x:v>4095</x:v>
      </x:c>
      <x:c r="AM12" s="8" t="n">
        <x:v>0</x:v>
      </x:c>
      <x:c r="AN12" s="8" t="n">
        <x:v>-100</x:v>
      </x:c>
      <x:c r="AO12" s="8" t="n">
        <x:v>0</x:v>
      </x:c>
      <x:c r="AP12" s="8" t="n">
        <x:v>1500</x:v>
      </x:c>
      <x:c r="AQ12" s="8" t="n">
        <x:v>0</x:v>
      </x:c>
      <x:c r="AR12" s="8" t="n">
        <x:v>0</x:v>
      </x:c>
      <x:c r="AS12" s="8" t="n">
        <x:v>0</x:v>
      </x:c>
      <x:c r="AT12" s="8" t="n">
        <x:v>0</x:v>
      </x:c>
      <x:c r="AU12" s="8" t="n">
        <x:v>0</x:v>
      </x:c>
      <x:c r="AV12" s="8" t="n">
        <x:v>1</x:v>
      </x:c>
      <x:c r="AW12" s="8" t="n">
        <x:v>1500</x:v>
      </x:c>
      <x:c r="AX12" s="8" t="n">
        <x:v>1500</x:v>
      </x:c>
      <x:c r="AY12" s="8" t="n">
        <x:v>0</x:v>
      </x:c>
      <x:c r="AZ12" s="8" t="n">
        <x:v>0</x:v>
      </x:c>
      <x:c r="BA12" s="8" t="n">
        <x:v>1</x:v>
      </x:c>
      <x:c r="BB12" s="8" t="n">
        <x:v>0</x:v>
      </x:c>
    </x:row>
    <x:row r="13">
      <x:c r="A13" t="n">
        <x:v>12</x:v>
      </x:c>
      <x:c r="B13" s="8" t="n">
        <x:v>5.543</x:v>
      </x:c>
      <x:c r="C13" s="8" t="n">
        <x:v>0</x:v>
      </x:c>
      <x:c r="D13" s="8" t="n">
        <x:v>776</x:v>
      </x:c>
      <x:c r="E13" s="8" t="n">
        <x:v>1</x:v>
      </x:c>
      <x:c r="F13" s="8" t="n">
        <x:v>75</x:v>
      </x:c>
      <x:c r="G13" s="8" t="n">
        <x:v>1</x:v>
      </x:c>
      <x:c r="H13" s="8" t="n">
        <x:v>2.51</x:v>
      </x:c>
      <x:c r="I13" s="8" t="n">
        <x:v>2.95</x:v>
      </x:c>
      <x:c r="J13" s="8" t="n">
        <x:v>-132.37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0</x:v>
      </x:c>
      <x:c r="W13" s="8" t="n">
        <x:v>3629</x:v>
      </x:c>
      <x:c r="X13" s="8" t="n">
        <x:v>2.924</x:v>
      </x:c>
      <x:c r="Y13" s="8" t="n">
        <x:v>135.83</x:v>
      </x:c>
      <x:c r="Z13" s="8" t="n">
        <x:v>3137</x:v>
      </x:c>
      <x:c r="AA13" s="8" t="n">
        <x:v>2.528</x:v>
      </x:c>
      <x:c r="AB13" s="8" t="n">
        <x:v>13.28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0</x:v>
      </x:c>
      <x:c r="AK13" s="8" t="n">
        <x:v>0</x:v>
      </x:c>
      <x:c r="AL13" s="8" t="n">
        <x:v>4095</x:v>
      </x:c>
      <x:c r="AM13" s="8" t="n">
        <x:v>0</x:v>
      </x:c>
      <x:c r="AN13" s="8" t="n">
        <x:v>-100</x:v>
      </x:c>
      <x:c r="AO13" s="8" t="n">
        <x:v>0</x:v>
      </x:c>
      <x:c r="AP13" s="8" t="n">
        <x:v>1500</x:v>
      </x:c>
      <x:c r="AQ13" s="8" t="n">
        <x:v>0</x:v>
      </x:c>
      <x:c r="AR13" s="8" t="n">
        <x:v>0</x:v>
      </x:c>
      <x:c r="AS13" s="8" t="n">
        <x:v>0</x:v>
      </x:c>
      <x:c r="AT13" s="8" t="n">
        <x:v>0</x:v>
      </x:c>
      <x:c r="AU13" s="8" t="n">
        <x:v>0</x:v>
      </x:c>
      <x:c r="AV13" s="8" t="n">
        <x:v>1</x:v>
      </x:c>
      <x:c r="AW13" s="8" t="n">
        <x:v>1500</x:v>
      </x:c>
      <x:c r="AX13" s="8" t="n">
        <x:v>1500</x:v>
      </x:c>
      <x:c r="AY13" s="8" t="n">
        <x:v>0</x:v>
      </x:c>
      <x:c r="AZ13" s="8" t="n">
        <x:v>0</x:v>
      </x:c>
      <x:c r="BA13" s="8" t="n">
        <x:v>1</x:v>
      </x:c>
      <x:c r="BB13" s="8" t="n">
        <x:v>0</x:v>
      </x:c>
    </x:row>
    <x:row r="14">
      <x:c r="A14" t="n">
        <x:v>13</x:v>
      </x:c>
      <x:c r="B14" s="8" t="n">
        <x:v>6.04</x:v>
      </x:c>
      <x:c r="C14" s="8" t="n">
        <x:v>0</x:v>
      </x:c>
      <x:c r="D14" s="8" t="n">
        <x:v>777</x:v>
      </x:c>
      <x:c r="E14" s="8" t="n">
        <x:v>1</x:v>
      </x:c>
      <x:c r="F14" s="8" t="n">
        <x:v>75</x:v>
      </x:c>
      <x:c r="G14" s="8" t="n">
        <x:v>1</x:v>
      </x:c>
      <x:c r="H14" s="8" t="n">
        <x:v>2.5</x:v>
      </x:c>
      <x:c r="I14" s="8" t="n">
        <x:v>2.95</x:v>
      </x:c>
      <x:c r="J14" s="8" t="n">
        <x:v>-132.37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0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8" t="n">
        <x:v>3636</x:v>
      </x:c>
      <x:c r="X14" s="8" t="n">
        <x:v>2.93</x:v>
      </x:c>
      <x:c r="Y14" s="8" t="n">
        <x:v>137.64</x:v>
      </x:c>
      <x:c r="Z14" s="8" t="n">
        <x:v>3151</x:v>
      </x:c>
      <x:c r="AA14" s="8" t="n">
        <x:v>2.539</x:v>
      </x:c>
      <x:c r="AB14" s="8" t="n">
        <x:v>13.34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  <x:c r="AK14" s="8" t="n">
        <x:v>0</x:v>
      </x:c>
      <x:c r="AL14" s="8" t="n">
        <x:v>4095</x:v>
      </x:c>
      <x:c r="AM14" s="8" t="n">
        <x:v>0</x:v>
      </x:c>
      <x:c r="AN14" s="8" t="n">
        <x:v>-100</x:v>
      </x:c>
      <x:c r="AO14" s="8" t="n">
        <x:v>0</x:v>
      </x:c>
      <x:c r="AP14" s="8" t="n">
        <x:v>1500</x:v>
      </x:c>
      <x:c r="AQ14" s="8" t="n">
        <x:v>0</x:v>
      </x:c>
      <x:c r="AR14" s="8" t="n">
        <x:v>0</x:v>
      </x:c>
      <x:c r="AS14" s="8" t="n">
        <x:v>0</x:v>
      </x:c>
      <x:c r="AT14" s="8" t="n">
        <x:v>0</x:v>
      </x:c>
      <x:c r="AU14" s="8" t="n">
        <x:v>0</x:v>
      </x:c>
      <x:c r="AV14" s="8" t="n">
        <x:v>1</x:v>
      </x:c>
      <x:c r="AW14" s="8" t="n">
        <x:v>1500</x:v>
      </x:c>
      <x:c r="AX14" s="8" t="n">
        <x:v>1500</x:v>
      </x:c>
      <x:c r="AY14" s="8" t="n">
        <x:v>0</x:v>
      </x:c>
      <x:c r="AZ14" s="8" t="n">
        <x:v>0</x:v>
      </x:c>
      <x:c r="BA14" s="8" t="n">
        <x:v>1</x:v>
      </x:c>
      <x:c r="BB14" s="8" t="n">
        <x:v>0</x:v>
      </x:c>
    </x:row>
    <x:row r="15">
      <x:c r="A15" t="n">
        <x:v>14</x:v>
      </x:c>
      <x:c r="B15" s="8" t="n">
        <x:v>6.541</x:v>
      </x:c>
      <x:c r="C15" s="8" t="n">
        <x:v>0</x:v>
      </x:c>
      <x:c r="D15" s="8" t="n">
        <x:v>777</x:v>
      </x:c>
      <x:c r="E15" s="8" t="n">
        <x:v>1</x:v>
      </x:c>
      <x:c r="F15" s="8" t="n">
        <x:v>75</x:v>
      </x:c>
      <x:c r="G15" s="8" t="n">
        <x:v>1</x:v>
      </x:c>
      <x:c r="H15" s="8" t="n">
        <x:v>2.48</x:v>
      </x:c>
      <x:c r="I15" s="8" t="n">
        <x:v>2.94</x:v>
      </x:c>
      <x:c r="J15" s="8" t="n">
        <x:v>-132.36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0</x:v>
      </x:c>
      <x:c r="W15" s="8" t="n">
        <x:v>3626</x:v>
      </x:c>
      <x:c r="X15" s="8" t="n">
        <x:v>2.922</x:v>
      </x:c>
      <x:c r="Y15" s="8" t="n">
        <x:v>135.06</x:v>
      </x:c>
      <x:c r="Z15" s="8" t="n">
        <x:v>3125</x:v>
      </x:c>
      <x:c r="AA15" s="8" t="n">
        <x:v>2.518</x:v>
      </x:c>
      <x:c r="AB15" s="8" t="n">
        <x:v>13.23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  <x:c r="AK15" s="8" t="n">
        <x:v>0</x:v>
      </x:c>
      <x:c r="AL15" s="8" t="n">
        <x:v>4095</x:v>
      </x:c>
      <x:c r="AM15" s="8" t="n">
        <x:v>0</x:v>
      </x:c>
      <x:c r="AN15" s="8" t="n">
        <x:v>-100</x:v>
      </x:c>
      <x:c r="AO15" s="8" t="n">
        <x:v>0</x:v>
      </x:c>
      <x:c r="AP15" s="8" t="n">
        <x:v>1500</x:v>
      </x:c>
      <x:c r="AQ15" s="8" t="n">
        <x:v>0</x:v>
      </x:c>
      <x:c r="AR15" s="8" t="n">
        <x:v>0</x:v>
      </x:c>
      <x:c r="AS15" s="8" t="n">
        <x:v>0</x:v>
      </x:c>
      <x:c r="AT15" s="8" t="n">
        <x:v>0</x:v>
      </x:c>
      <x:c r="AU15" s="8" t="n">
        <x:v>0</x:v>
      </x:c>
      <x:c r="AV15" s="8" t="n">
        <x:v>1</x:v>
      </x:c>
      <x:c r="AW15" s="8" t="n">
        <x:v>1500</x:v>
      </x:c>
      <x:c r="AX15" s="8" t="n">
        <x:v>1500</x:v>
      </x:c>
      <x:c r="AY15" s="8" t="n">
        <x:v>0</x:v>
      </x:c>
      <x:c r="AZ15" s="8" t="n">
        <x:v>0</x:v>
      </x:c>
      <x:c r="BA15" s="8" t="n">
        <x:v>1</x:v>
      </x:c>
      <x:c r="BB15" s="8" t="n">
        <x:v>0</x:v>
      </x:c>
    </x:row>
    <x:row r="16">
      <x:c r="A16" t="n">
        <x:v>15</x:v>
      </x:c>
      <x:c r="B16" s="8" t="n">
        <x:v>7.041</x:v>
      </x:c>
      <x:c r="C16" s="8" t="n">
        <x:v>0</x:v>
      </x:c>
      <x:c r="D16" s="8" t="n">
        <x:v>778</x:v>
      </x:c>
      <x:c r="E16" s="8" t="n">
        <x:v>1</x:v>
      </x:c>
      <x:c r="F16" s="8" t="n">
        <x:v>75</x:v>
      </x:c>
      <x:c r="G16" s="8" t="n">
        <x:v>1</x:v>
      </x:c>
      <x:c r="H16" s="8" t="n">
        <x:v>2.47</x:v>
      </x:c>
      <x:c r="I16" s="8" t="n">
        <x:v>2.96</x:v>
      </x:c>
      <x:c r="J16" s="8" t="n">
        <x:v>-132.36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0</x:v>
      </x:c>
      <x:c r="W16" s="8" t="n">
        <x:v>3629</x:v>
      </x:c>
      <x:c r="X16" s="8" t="n">
        <x:v>2.924</x:v>
      </x:c>
      <x:c r="Y16" s="8" t="n">
        <x:v>135.83</x:v>
      </x:c>
      <x:c r="Z16" s="8" t="n">
        <x:v>3123</x:v>
      </x:c>
      <x:c r="AA16" s="8" t="n">
        <x:v>2.517</x:v>
      </x:c>
      <x:c r="AB16" s="8" t="n">
        <x:v>13.23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  <x:c r="AK16" s="8" t="n">
        <x:v>0</x:v>
      </x:c>
      <x:c r="AL16" s="8" t="n">
        <x:v>4095</x:v>
      </x:c>
      <x:c r="AM16" s="8" t="n">
        <x:v>0</x:v>
      </x:c>
      <x:c r="AN16" s="8" t="n">
        <x:v>-100</x:v>
      </x:c>
      <x:c r="AO16" s="8" t="n">
        <x:v>0</x:v>
      </x:c>
      <x:c r="AP16" s="8" t="n">
        <x:v>1500</x:v>
      </x:c>
      <x:c r="AQ16" s="8" t="n">
        <x:v>0</x:v>
      </x:c>
      <x:c r="AR16" s="8" t="n">
        <x:v>0</x:v>
      </x:c>
      <x:c r="AS16" s="8" t="n">
        <x:v>0</x:v>
      </x:c>
      <x:c r="AT16" s="8" t="n">
        <x:v>0</x:v>
      </x:c>
      <x:c r="AU16" s="8" t="n">
        <x:v>0</x:v>
      </x:c>
      <x:c r="AV16" s="8" t="n">
        <x:v>1</x:v>
      </x:c>
      <x:c r="AW16" s="8" t="n">
        <x:v>1500</x:v>
      </x:c>
      <x:c r="AX16" s="8" t="n">
        <x:v>1500</x:v>
      </x:c>
      <x:c r="AY16" s="8" t="n">
        <x:v>0</x:v>
      </x:c>
      <x:c r="AZ16" s="8" t="n">
        <x:v>0</x:v>
      </x:c>
      <x:c r="BA16" s="8" t="n">
        <x:v>1</x:v>
      </x:c>
      <x:c r="BB16" s="8" t="n">
        <x:v>0</x:v>
      </x:c>
    </x:row>
    <x:row r="17">
      <x:c r="A17" t="n">
        <x:v>16</x:v>
      </x:c>
      <x:c r="B17" s="8" t="n">
        <x:v>7.542</x:v>
      </x:c>
      <x:c r="C17" s="8" t="n">
        <x:v>0</x:v>
      </x:c>
      <x:c r="D17" s="8" t="n">
        <x:v>778</x:v>
      </x:c>
      <x:c r="E17" s="8" t="n">
        <x:v>1</x:v>
      </x:c>
      <x:c r="F17" s="8" t="n">
        <x:v>75</x:v>
      </x:c>
      <x:c r="G17" s="8" t="n">
        <x:v>1</x:v>
      </x:c>
      <x:c r="H17" s="8" t="n">
        <x:v>2.46</x:v>
      </x:c>
      <x:c r="I17" s="8" t="n">
        <x:v>2.97</x:v>
      </x:c>
      <x:c r="J17" s="8" t="n">
        <x:v>-132.37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0</x:v>
      </x:c>
      <x:c r="W17" s="8" t="n">
        <x:v>3630</x:v>
      </x:c>
      <x:c r="X17" s="8" t="n">
        <x:v>2.925</x:v>
      </x:c>
      <x:c r="Y17" s="8" t="n">
        <x:v>136.09</x:v>
      </x:c>
      <x:c r="Z17" s="8" t="n">
        <x:v>3136</x:v>
      </x:c>
      <x:c r="AA17" s="8" t="n">
        <x:v>2.527</x:v>
      </x:c>
      <x:c r="AB17" s="8" t="n">
        <x:v>13.28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  <x:c r="AK17" s="8" t="n">
        <x:v>0</x:v>
      </x:c>
      <x:c r="AL17" s="8" t="n">
        <x:v>4095</x:v>
      </x:c>
      <x:c r="AM17" s="8" t="n">
        <x:v>0</x:v>
      </x:c>
      <x:c r="AN17" s="8" t="n">
        <x:v>-100</x:v>
      </x:c>
      <x:c r="AO17" s="8" t="n">
        <x:v>0</x:v>
      </x:c>
      <x:c r="AP17" s="8" t="n">
        <x:v>1500</x:v>
      </x:c>
      <x:c r="AQ17" s="8" t="n">
        <x:v>0</x:v>
      </x:c>
      <x:c r="AR17" s="8" t="n">
        <x:v>0</x:v>
      </x:c>
      <x:c r="AS17" s="8" t="n">
        <x:v>0</x:v>
      </x:c>
      <x:c r="AT17" s="8" t="n">
        <x:v>0</x:v>
      </x:c>
      <x:c r="AU17" s="8" t="n">
        <x:v>0</x:v>
      </x:c>
      <x:c r="AV17" s="8" t="n">
        <x:v>1</x:v>
      </x:c>
      <x:c r="AW17" s="8" t="n">
        <x:v>1500</x:v>
      </x:c>
      <x:c r="AX17" s="8" t="n">
        <x:v>1500</x:v>
      </x:c>
      <x:c r="AY17" s="8" t="n">
        <x:v>0</x:v>
      </x:c>
      <x:c r="AZ17" s="8" t="n">
        <x:v>0</x:v>
      </x:c>
      <x:c r="BA17" s="8" t="n">
        <x:v>1</x:v>
      </x:c>
      <x:c r="BB17" s="8" t="n">
        <x:v>0</x:v>
      </x:c>
    </x:row>
    <x:row r="18">
      <x:c r="A18" t="n">
        <x:v>17</x:v>
      </x:c>
      <x:c r="B18" s="8" t="n">
        <x:v>8.042</x:v>
      </x:c>
      <x:c r="C18" s="8" t="n">
        <x:v>0</x:v>
      </x:c>
      <x:c r="D18" s="8" t="n">
        <x:v>779</x:v>
      </x:c>
      <x:c r="E18" s="8" t="n">
        <x:v>1</x:v>
      </x:c>
      <x:c r="F18" s="8" t="n">
        <x:v>75</x:v>
      </x:c>
      <x:c r="G18" s="8" t="n">
        <x:v>1</x:v>
      </x:c>
      <x:c r="H18" s="8" t="n">
        <x:v>2.48</x:v>
      </x:c>
      <x:c r="I18" s="8" t="n">
        <x:v>2.98</x:v>
      </x:c>
      <x:c r="J18" s="8" t="n">
        <x:v>-132.37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0</x:v>
      </x:c>
      <x:c r="W18" s="8" t="n">
        <x:v>3641</x:v>
      </x:c>
      <x:c r="X18" s="8" t="n">
        <x:v>2.934</x:v>
      </x:c>
      <x:c r="Y18" s="8" t="n">
        <x:v>138.92</x:v>
      </x:c>
      <x:c r="Z18" s="8" t="n">
        <x:v>3151</x:v>
      </x:c>
      <x:c r="AA18" s="8" t="n">
        <x:v>2.539</x:v>
      </x:c>
      <x:c r="AB18" s="8" t="n">
        <x:v>13.34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  <x:c r="AK18" s="8" t="n">
        <x:v>0</x:v>
      </x:c>
      <x:c r="AL18" s="8" t="n">
        <x:v>4095</x:v>
      </x:c>
      <x:c r="AM18" s="8" t="n">
        <x:v>0</x:v>
      </x:c>
      <x:c r="AN18" s="8" t="n">
        <x:v>-100</x:v>
      </x:c>
      <x:c r="AO18" s="8" t="n">
        <x:v>0</x:v>
      </x:c>
      <x:c r="AP18" s="8" t="n">
        <x:v>1500</x:v>
      </x:c>
      <x:c r="AQ18" s="8" t="n">
        <x:v>0</x:v>
      </x:c>
      <x:c r="AR18" s="8" t="n">
        <x:v>0</x:v>
      </x:c>
      <x:c r="AS18" s="8" t="n">
        <x:v>0</x:v>
      </x:c>
      <x:c r="AT18" s="8" t="n">
        <x:v>0</x:v>
      </x:c>
      <x:c r="AU18" s="8" t="n">
        <x:v>0</x:v>
      </x:c>
      <x:c r="AV18" s="8" t="n">
        <x:v>1</x:v>
      </x:c>
      <x:c r="AW18" s="8" t="n">
        <x:v>1500</x:v>
      </x:c>
      <x:c r="AX18" s="8" t="n">
        <x:v>1500</x:v>
      </x:c>
      <x:c r="AY18" s="8" t="n">
        <x:v>0</x:v>
      </x:c>
      <x:c r="AZ18" s="8" t="n">
        <x:v>0</x:v>
      </x:c>
      <x:c r="BA18" s="8" t="n">
        <x:v>1</x:v>
      </x:c>
      <x:c r="BB18" s="8" t="n">
        <x:v>0</x:v>
      </x:c>
    </x:row>
    <x:row r="19">
      <x:c r="A19" t="n">
        <x:v>18</x:v>
      </x:c>
      <x:c r="B19" s="8" t="n">
        <x:v>8.542</x:v>
      </x:c>
      <x:c r="C19" s="8" t="n">
        <x:v>0</x:v>
      </x:c>
      <x:c r="D19" s="8" t="n">
        <x:v>779</x:v>
      </x:c>
      <x:c r="E19" s="8" t="n">
        <x:v>1</x:v>
      </x:c>
      <x:c r="F19" s="8" t="n">
        <x:v>75</x:v>
      </x:c>
      <x:c r="G19" s="8" t="n">
        <x:v>1</x:v>
      </x:c>
      <x:c r="H19" s="8" t="n">
        <x:v>2.48</x:v>
      </x:c>
      <x:c r="I19" s="8" t="n">
        <x:v>2.99</x:v>
      </x:c>
      <x:c r="J19" s="8" t="n">
        <x:v>-132.37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0</x:v>
      </x:c>
      <x:c r="W19" s="8" t="n">
        <x:v>3631</x:v>
      </x:c>
      <x:c r="X19" s="8" t="n">
        <x:v>2.926</x:v>
      </x:c>
      <x:c r="Y19" s="8" t="n">
        <x:v>136.35</x:v>
      </x:c>
      <x:c r="Z19" s="8" t="n">
        <x:v>3137</x:v>
      </x:c>
      <x:c r="AA19" s="8" t="n">
        <x:v>2.528</x:v>
      </x:c>
      <x:c r="AB19" s="8" t="n">
        <x:v>13.28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0</x:v>
      </x:c>
      <x:c r="AK19" s="8" t="n">
        <x:v>0</x:v>
      </x:c>
      <x:c r="AL19" s="8" t="n">
        <x:v>4095</x:v>
      </x:c>
      <x:c r="AM19" s="8" t="n">
        <x:v>0</x:v>
      </x:c>
      <x:c r="AN19" s="8" t="n">
        <x:v>-100</x:v>
      </x:c>
      <x:c r="AO19" s="8" t="n">
        <x:v>0</x:v>
      </x:c>
      <x:c r="AP19" s="8" t="n">
        <x:v>1500</x:v>
      </x:c>
      <x:c r="AQ19" s="8" t="n">
        <x:v>0</x:v>
      </x:c>
      <x:c r="AR19" s="8" t="n">
        <x:v>0</x:v>
      </x:c>
      <x:c r="AS19" s="8" t="n">
        <x:v>0</x:v>
      </x:c>
      <x:c r="AT19" s="8" t="n">
        <x:v>0</x:v>
      </x:c>
      <x:c r="AU19" s="8" t="n">
        <x:v>0</x:v>
      </x:c>
      <x:c r="AV19" s="8" t="n">
        <x:v>1</x:v>
      </x:c>
      <x:c r="AW19" s="8" t="n">
        <x:v>1500</x:v>
      </x:c>
      <x:c r="AX19" s="8" t="n">
        <x:v>1500</x:v>
      </x:c>
      <x:c r="AY19" s="8" t="n">
        <x:v>0</x:v>
      </x:c>
      <x:c r="AZ19" s="8" t="n">
        <x:v>0</x:v>
      </x:c>
      <x:c r="BA19" s="8" t="n">
        <x:v>1</x:v>
      </x:c>
      <x:c r="BB19" s="8" t="n">
        <x:v>0</x:v>
      </x:c>
    </x:row>
    <x:row r="20">
      <x:c r="A20" t="n">
        <x:v>19</x:v>
      </x:c>
      <x:c r="B20" s="8" t="n">
        <x:v>9.043</x:v>
      </x:c>
      <x:c r="C20" s="8" t="n">
        <x:v>0</x:v>
      </x:c>
      <x:c r="D20" s="8" t="n">
        <x:v>780</x:v>
      </x:c>
      <x:c r="E20" s="8" t="n">
        <x:v>1</x:v>
      </x:c>
      <x:c r="F20" s="8" t="n">
        <x:v>75</x:v>
      </x:c>
      <x:c r="G20" s="8" t="n">
        <x:v>1</x:v>
      </x:c>
      <x:c r="H20" s="8" t="n">
        <x:v>2.49</x:v>
      </x:c>
      <x:c r="I20" s="8" t="n">
        <x:v>2.99</x:v>
      </x:c>
      <x:c r="J20" s="8" t="n">
        <x:v>-132.37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0</x:v>
      </x:c>
      <x:c r="W20" s="8" t="n">
        <x:v>3631</x:v>
      </x:c>
      <x:c r="X20" s="8" t="n">
        <x:v>2.926</x:v>
      </x:c>
      <x:c r="Y20" s="8" t="n">
        <x:v>136.35</x:v>
      </x:c>
      <x:c r="Z20" s="8" t="n">
        <x:v>3138</x:v>
      </x:c>
      <x:c r="AA20" s="8" t="n">
        <x:v>2.529</x:v>
      </x:c>
      <x:c r="AB20" s="8" t="n">
        <x:v>13.29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0</x:v>
      </x:c>
      <x:c r="AK20" s="8" t="n">
        <x:v>0</x:v>
      </x:c>
      <x:c r="AL20" s="8" t="n">
        <x:v>4095</x:v>
      </x:c>
      <x:c r="AM20" s="8" t="n">
        <x:v>0</x:v>
      </x:c>
      <x:c r="AN20" s="8" t="n">
        <x:v>-100</x:v>
      </x:c>
      <x:c r="AO20" s="8" t="n">
        <x:v>0</x:v>
      </x:c>
      <x:c r="AP20" s="8" t="n">
        <x:v>1500</x:v>
      </x:c>
      <x:c r="AQ20" s="8" t="n">
        <x:v>0</x:v>
      </x:c>
      <x:c r="AR20" s="8" t="n">
        <x:v>0</x:v>
      </x:c>
      <x:c r="AS20" s="8" t="n">
        <x:v>0</x:v>
      </x:c>
      <x:c r="AT20" s="8" t="n">
        <x:v>0</x:v>
      </x:c>
      <x:c r="AU20" s="8" t="n">
        <x:v>0</x:v>
      </x:c>
      <x:c r="AV20" s="8" t="n">
        <x:v>1</x:v>
      </x:c>
      <x:c r="AW20" s="8" t="n">
        <x:v>1500</x:v>
      </x:c>
      <x:c r="AX20" s="8" t="n">
        <x:v>1500</x:v>
      </x:c>
      <x:c r="AY20" s="8" t="n">
        <x:v>0</x:v>
      </x:c>
      <x:c r="AZ20" s="8" t="n">
        <x:v>0</x:v>
      </x:c>
      <x:c r="BA20" s="8" t="n">
        <x:v>1</x:v>
      </x:c>
      <x:c r="BB20" s="8" t="n">
        <x:v>0</x:v>
      </x:c>
    </x:row>
    <x:row r="21">
      <x:c r="A21" t="n">
        <x:v>20</x:v>
      </x:c>
      <x:c r="B21" s="8" t="n">
        <x:v>9.543</x:v>
      </x:c>
      <x:c r="C21" s="8" t="n">
        <x:v>0</x:v>
      </x:c>
      <x:c r="D21" s="8" t="n">
        <x:v>780</x:v>
      </x:c>
      <x:c r="E21" s="8" t="n">
        <x:v>1</x:v>
      </x:c>
      <x:c r="F21" s="8" t="n">
        <x:v>75</x:v>
      </x:c>
      <x:c r="G21" s="8" t="n">
        <x:v>1</x:v>
      </x:c>
      <x:c r="H21" s="8" t="n">
        <x:v>2.49</x:v>
      </x:c>
      <x:c r="I21" s="8" t="n">
        <x:v>3</x:v>
      </x:c>
      <x:c r="J21" s="8" t="n">
        <x:v>-132.37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0</x:v>
      </x:c>
      <x:c r="W21" s="8" t="n">
        <x:v>3631</x:v>
      </x:c>
      <x:c r="X21" s="8" t="n">
        <x:v>2.926</x:v>
      </x:c>
      <x:c r="Y21" s="8" t="n">
        <x:v>136.35</x:v>
      </x:c>
      <x:c r="Z21" s="8" t="n">
        <x:v>3139</x:v>
      </x:c>
      <x:c r="AA21" s="8" t="n">
        <x:v>2.53</x:v>
      </x:c>
      <x:c r="AB21" s="8" t="n">
        <x:v>13.29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0</x:v>
      </x:c>
      <x:c r="AK21" s="8" t="n">
        <x:v>0</x:v>
      </x:c>
      <x:c r="AL21" s="8" t="n">
        <x:v>4095</x:v>
      </x:c>
      <x:c r="AM21" s="8" t="n">
        <x:v>0</x:v>
      </x:c>
      <x:c r="AN21" s="8" t="n">
        <x:v>-100</x:v>
      </x:c>
      <x:c r="AO21" s="8" t="n">
        <x:v>0</x:v>
      </x:c>
      <x:c r="AP21" s="8" t="n">
        <x:v>1500</x:v>
      </x:c>
      <x:c r="AQ21" s="8" t="n">
        <x:v>0</x:v>
      </x:c>
      <x:c r="AR21" s="8" t="n">
        <x:v>0</x:v>
      </x:c>
      <x:c r="AS21" s="8" t="n">
        <x:v>0</x:v>
      </x:c>
      <x:c r="AT21" s="8" t="n">
        <x:v>0</x:v>
      </x:c>
      <x:c r="AU21" s="8" t="n">
        <x:v>0</x:v>
      </x:c>
      <x:c r="AV21" s="8" t="n">
        <x:v>1</x:v>
      </x:c>
      <x:c r="AW21" s="8" t="n">
        <x:v>1500</x:v>
      </x:c>
      <x:c r="AX21" s="8" t="n">
        <x:v>1500</x:v>
      </x:c>
      <x:c r="AY21" s="8" t="n">
        <x:v>0</x:v>
      </x:c>
      <x:c r="AZ21" s="8" t="n">
        <x:v>0</x:v>
      </x:c>
      <x:c r="BA21" s="8" t="n">
        <x:v>1</x:v>
      </x:c>
      <x:c r="BB21" s="8" t="n">
        <x:v>0</x:v>
      </x:c>
    </x:row>
    <x:row r="22">
      <x:c r="A22" t="n">
        <x:v>21</x:v>
      </x:c>
      <x:c r="B22" s="8" t="n">
        <x:v>10.044</x:v>
      </x:c>
      <x:c r="C22" s="8" t="n">
        <x:v>0</x:v>
      </x:c>
      <x:c r="D22" s="8" t="n">
        <x:v>781</x:v>
      </x:c>
      <x:c r="E22" s="8" t="n">
        <x:v>1</x:v>
      </x:c>
      <x:c r="F22" s="8" t="n">
        <x:v>75</x:v>
      </x:c>
      <x:c r="G22" s="8" t="n">
        <x:v>1</x:v>
      </x:c>
      <x:c r="H22" s="8" t="n">
        <x:v>2.49</x:v>
      </x:c>
      <x:c r="I22" s="8" t="n">
        <x:v>3</x:v>
      </x:c>
      <x:c r="J22" s="8" t="n">
        <x:v>-132.37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0</x:v>
      </x:c>
      <x:c r="W22" s="8" t="n">
        <x:v>3632</x:v>
      </x:c>
      <x:c r="X22" s="8" t="n">
        <x:v>2.927</x:v>
      </x:c>
      <x:c r="Y22" s="8" t="n">
        <x:v>136.6</x:v>
      </x:c>
      <x:c r="Z22" s="8" t="n">
        <x:v>3138</x:v>
      </x:c>
      <x:c r="AA22" s="8" t="n">
        <x:v>2.529</x:v>
      </x:c>
      <x:c r="AB22" s="8" t="n">
        <x:v>13.29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0</x:v>
      </x:c>
      <x:c r="AK22" s="8" t="n">
        <x:v>0</x:v>
      </x:c>
      <x:c r="AL22" s="8" t="n">
        <x:v>4095</x:v>
      </x:c>
      <x:c r="AM22" s="8" t="n">
        <x:v>0</x:v>
      </x:c>
      <x:c r="AN22" s="8" t="n">
        <x:v>-100</x:v>
      </x:c>
      <x:c r="AO22" s="8" t="n">
        <x:v>0</x:v>
      </x:c>
      <x:c r="AP22" s="8" t="n">
        <x:v>1500</x:v>
      </x:c>
      <x:c r="AQ22" s="8" t="n">
        <x:v>0</x:v>
      </x:c>
      <x:c r="AR22" s="8" t="n">
        <x:v>0</x:v>
      </x:c>
      <x:c r="AS22" s="8" t="n">
        <x:v>0</x:v>
      </x:c>
      <x:c r="AT22" s="8" t="n">
        <x:v>0</x:v>
      </x:c>
      <x:c r="AU22" s="8" t="n">
        <x:v>0</x:v>
      </x:c>
      <x:c r="AV22" s="8" t="n">
        <x:v>1</x:v>
      </x:c>
      <x:c r="AW22" s="8" t="n">
        <x:v>1500</x:v>
      </x:c>
      <x:c r="AX22" s="8" t="n">
        <x:v>1500</x:v>
      </x:c>
      <x:c r="AY22" s="8" t="n">
        <x:v>0</x:v>
      </x:c>
      <x:c r="AZ22" s="8" t="n">
        <x:v>0</x:v>
      </x:c>
      <x:c r="BA22" s="8" t="n">
        <x:v>1</x:v>
      </x:c>
      <x:c r="BB22" s="8" t="n">
        <x:v>0</x:v>
      </x:c>
    </x:row>
    <x:row r="23">
      <x:c r="A23" t="n">
        <x:v>22</x:v>
      </x:c>
      <x:c r="B23" s="8" t="n">
        <x:v>10.544</x:v>
      </x:c>
      <x:c r="C23" s="8" t="n">
        <x:v>0</x:v>
      </x:c>
      <x:c r="D23" s="8" t="n">
        <x:v>781</x:v>
      </x:c>
      <x:c r="E23" s="8" t="n">
        <x:v>1</x:v>
      </x:c>
      <x:c r="F23" s="8" t="n">
        <x:v>75</x:v>
      </x:c>
      <x:c r="G23" s="8" t="n">
        <x:v>1</x:v>
      </x:c>
      <x:c r="H23" s="8" t="n">
        <x:v>2.49</x:v>
      </x:c>
      <x:c r="I23" s="8" t="n">
        <x:v>3</x:v>
      </x:c>
      <x:c r="J23" s="8" t="n">
        <x:v>-132.37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0</x:v>
      </x:c>
      <x:c r="W23" s="8" t="n">
        <x:v>3628</x:v>
      </x:c>
      <x:c r="X23" s="8" t="n">
        <x:v>2.924</x:v>
      </x:c>
      <x:c r="Y23" s="8" t="n">
        <x:v>135.57</x:v>
      </x:c>
      <x:c r="Z23" s="8" t="n">
        <x:v>3124</x:v>
      </x:c>
      <x:c r="AA23" s="8" t="n">
        <x:v>2.518</x:v>
      </x:c>
      <x:c r="AB23" s="8" t="n">
        <x:v>13.23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8" t="n">
        <x:v>0</x:v>
      </x:c>
      <x:c r="AJ23" s="8" t="n">
        <x:v>0</x:v>
      </x:c>
      <x:c r="AK23" s="8" t="n">
        <x:v>0</x:v>
      </x:c>
      <x:c r="AL23" s="8" t="n">
        <x:v>4095</x:v>
      </x:c>
      <x:c r="AM23" s="8" t="n">
        <x:v>0</x:v>
      </x:c>
      <x:c r="AN23" s="8" t="n">
        <x:v>-100</x:v>
      </x:c>
      <x:c r="AO23" s="8" t="n">
        <x:v>0</x:v>
      </x:c>
      <x:c r="AP23" s="8" t="n">
        <x:v>1500</x:v>
      </x:c>
      <x:c r="AQ23" s="8" t="n">
        <x:v>0</x:v>
      </x:c>
      <x:c r="AR23" s="8" t="n">
        <x:v>0</x:v>
      </x:c>
      <x:c r="AS23" s="8" t="n">
        <x:v>0</x:v>
      </x:c>
      <x:c r="AT23" s="8" t="n">
        <x:v>0</x:v>
      </x:c>
      <x:c r="AU23" s="8" t="n">
        <x:v>0</x:v>
      </x:c>
      <x:c r="AV23" s="8" t="n">
        <x:v>1</x:v>
      </x:c>
      <x:c r="AW23" s="8" t="n">
        <x:v>1500</x:v>
      </x:c>
      <x:c r="AX23" s="8" t="n">
        <x:v>1500</x:v>
      </x:c>
      <x:c r="AY23" s="8" t="n">
        <x:v>0</x:v>
      </x:c>
      <x:c r="AZ23" s="8" t="n">
        <x:v>0</x:v>
      </x:c>
      <x:c r="BA23" s="8" t="n">
        <x:v>1</x:v>
      </x:c>
      <x:c r="BB23" s="8" t="n">
        <x:v>0</x:v>
      </x:c>
    </x:row>
    <x:row r="24">
      <x:c r="A24" t="n">
        <x:v>23</x:v>
      </x:c>
      <x:c r="B24" s="8" t="n">
        <x:v>11.045</x:v>
      </x:c>
      <x:c r="C24" s="8" t="n">
        <x:v>0</x:v>
      </x:c>
      <x:c r="D24" s="8" t="n">
        <x:v>782</x:v>
      </x:c>
      <x:c r="E24" s="8" t="n">
        <x:v>1</x:v>
      </x:c>
      <x:c r="F24" s="8" t="n">
        <x:v>75</x:v>
      </x:c>
      <x:c r="G24" s="8" t="n">
        <x:v>1</x:v>
      </x:c>
      <x:c r="H24" s="8" t="n">
        <x:v>2.49</x:v>
      </x:c>
      <x:c r="I24" s="8" t="n">
        <x:v>3</x:v>
      </x:c>
      <x:c r="J24" s="8" t="n">
        <x:v>-132.37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8" t="n">
        <x:v>0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0</x:v>
      </x:c>
      <x:c r="W24" s="8" t="n">
        <x:v>3635</x:v>
      </x:c>
      <x:c r="X24" s="8" t="n">
        <x:v>2.929</x:v>
      </x:c>
      <x:c r="Y24" s="8" t="n">
        <x:v>137.38</x:v>
      </x:c>
      <x:c r="Z24" s="8" t="n">
        <x:v>3145</x:v>
      </x:c>
      <x:c r="AA24" s="8" t="n">
        <x:v>2.534</x:v>
      </x:c>
      <x:c r="AB24" s="8" t="n">
        <x:v>13.32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0</x:v>
      </x:c>
      <x:c r="AK24" s="8" t="n">
        <x:v>0</x:v>
      </x:c>
      <x:c r="AL24" s="8" t="n">
        <x:v>4095</x:v>
      </x:c>
      <x:c r="AM24" s="8" t="n">
        <x:v>0</x:v>
      </x:c>
      <x:c r="AN24" s="8" t="n">
        <x:v>-100</x:v>
      </x:c>
      <x:c r="AO24" s="8" t="n">
        <x:v>0</x:v>
      </x:c>
      <x:c r="AP24" s="8" t="n">
        <x:v>1500</x:v>
      </x:c>
      <x:c r="AQ24" s="8" t="n">
        <x:v>0</x:v>
      </x:c>
      <x:c r="AR24" s="8" t="n">
        <x:v>0</x:v>
      </x:c>
      <x:c r="AS24" s="8" t="n">
        <x:v>0</x:v>
      </x:c>
      <x:c r="AT24" s="8" t="n">
        <x:v>0</x:v>
      </x:c>
      <x:c r="AU24" s="8" t="n">
        <x:v>0</x:v>
      </x:c>
      <x:c r="AV24" s="8" t="n">
        <x:v>1</x:v>
      </x:c>
      <x:c r="AW24" s="8" t="n">
        <x:v>1500</x:v>
      </x:c>
      <x:c r="AX24" s="8" t="n">
        <x:v>1500</x:v>
      </x:c>
      <x:c r="AY24" s="8" t="n">
        <x:v>0</x:v>
      </x:c>
      <x:c r="AZ24" s="8" t="n">
        <x:v>0</x:v>
      </x:c>
      <x:c r="BA24" s="8" t="n">
        <x:v>1</x:v>
      </x:c>
      <x:c r="BB24" s="8" t="n">
        <x:v>0</x:v>
      </x:c>
    </x:row>
    <x:row r="25">
      <x:c r="A25" t="n">
        <x:v>24</x:v>
      </x:c>
      <x:c r="B25" s="8" t="n">
        <x:v>11.546</x:v>
      </x:c>
      <x:c r="C25" s="8" t="n">
        <x:v>0</x:v>
      </x:c>
      <x:c r="D25" s="8" t="n">
        <x:v>782</x:v>
      </x:c>
      <x:c r="E25" s="8" t="n">
        <x:v>1</x:v>
      </x:c>
      <x:c r="F25" s="8" t="n">
        <x:v>75</x:v>
      </x:c>
      <x:c r="G25" s="8" t="n">
        <x:v>1</x:v>
      </x:c>
      <x:c r="H25" s="8" t="n">
        <x:v>2.49</x:v>
      </x:c>
      <x:c r="I25" s="8" t="n">
        <x:v>3</x:v>
      </x:c>
      <x:c r="J25" s="8" t="n">
        <x:v>-132.37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0</x:v>
      </x:c>
      <x:c r="W25" s="8" t="n">
        <x:v>3635</x:v>
      </x:c>
      <x:c r="X25" s="8" t="n">
        <x:v>2.929</x:v>
      </x:c>
      <x:c r="Y25" s="8" t="n">
        <x:v>137.38</x:v>
      </x:c>
      <x:c r="Z25" s="8" t="n">
        <x:v>3136</x:v>
      </x:c>
      <x:c r="AA25" s="8" t="n">
        <x:v>2.527</x:v>
      </x:c>
      <x:c r="AB25" s="8" t="n">
        <x:v>13.28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0</x:v>
      </x:c>
      <x:c r="AK25" s="8" t="n">
        <x:v>0</x:v>
      </x:c>
      <x:c r="AL25" s="8" t="n">
        <x:v>4095</x:v>
      </x:c>
      <x:c r="AM25" s="8" t="n">
        <x:v>0</x:v>
      </x:c>
      <x:c r="AN25" s="8" t="n">
        <x:v>-100</x:v>
      </x:c>
      <x:c r="AO25" s="8" t="n">
        <x:v>0</x:v>
      </x:c>
      <x:c r="AP25" s="8" t="n">
        <x:v>1500</x:v>
      </x:c>
      <x:c r="AQ25" s="8" t="n">
        <x:v>0</x:v>
      </x:c>
      <x:c r="AR25" s="8" t="n">
        <x:v>0</x:v>
      </x:c>
      <x:c r="AS25" s="8" t="n">
        <x:v>0</x:v>
      </x:c>
      <x:c r="AT25" s="8" t="n">
        <x:v>0</x:v>
      </x:c>
      <x:c r="AU25" s="8" t="n">
        <x:v>0</x:v>
      </x:c>
      <x:c r="AV25" s="8" t="n">
        <x:v>1</x:v>
      </x:c>
      <x:c r="AW25" s="8" t="n">
        <x:v>1500</x:v>
      </x:c>
      <x:c r="AX25" s="8" t="n">
        <x:v>1500</x:v>
      </x:c>
      <x:c r="AY25" s="8" t="n">
        <x:v>0</x:v>
      </x:c>
      <x:c r="AZ25" s="8" t="n">
        <x:v>0</x:v>
      </x:c>
      <x:c r="BA25" s="8" t="n">
        <x:v>1</x:v>
      </x:c>
      <x:c r="BB25" s="8" t="n">
        <x:v>0</x:v>
      </x:c>
    </x:row>
    <x:row r="26">
      <x:c r="A26" t="n">
        <x:v>25</x:v>
      </x:c>
      <x:c r="B26" s="8" t="n">
        <x:v>12.046</x:v>
      </x:c>
      <x:c r="C26" s="8" t="n">
        <x:v>0</x:v>
      </x:c>
      <x:c r="D26" s="8" t="n">
        <x:v>783</x:v>
      </x:c>
      <x:c r="E26" s="8" t="n">
        <x:v>1</x:v>
      </x:c>
      <x:c r="F26" s="8" t="n">
        <x:v>75</x:v>
      </x:c>
      <x:c r="G26" s="8" t="n">
        <x:v>1</x:v>
      </x:c>
      <x:c r="H26" s="8" t="n">
        <x:v>2.46</x:v>
      </x:c>
      <x:c r="I26" s="8" t="n">
        <x:v>2.98</x:v>
      </x:c>
      <x:c r="J26" s="8" t="n">
        <x:v>-132.37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8" t="n">
        <x:v>0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8" t="n">
        <x:v>0</x:v>
      </x:c>
      <x:c r="V26" s="8" t="n">
        <x:v>0</x:v>
      </x:c>
      <x:c r="W26" s="8" t="n">
        <x:v>3633</x:v>
      </x:c>
      <x:c r="X26" s="8" t="n">
        <x:v>2.928</x:v>
      </x:c>
      <x:c r="Y26" s="8" t="n">
        <x:v>136.86</x:v>
      </x:c>
      <x:c r="Z26" s="8" t="n">
        <x:v>3139</x:v>
      </x:c>
      <x:c r="AA26" s="8" t="n">
        <x:v>2.53</x:v>
      </x:c>
      <x:c r="AB26" s="8" t="n">
        <x:v>13.29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0</x:v>
      </x:c>
      <x:c r="AK26" s="8" t="n">
        <x:v>0</x:v>
      </x:c>
      <x:c r="AL26" s="8" t="n">
        <x:v>4095</x:v>
      </x:c>
      <x:c r="AM26" s="8" t="n">
        <x:v>0</x:v>
      </x:c>
      <x:c r="AN26" s="8" t="n">
        <x:v>-100</x:v>
      </x:c>
      <x:c r="AO26" s="8" t="n">
        <x:v>0</x:v>
      </x:c>
      <x:c r="AP26" s="8" t="n">
        <x:v>1500</x:v>
      </x:c>
      <x:c r="AQ26" s="8" t="n">
        <x:v>0</x:v>
      </x:c>
      <x:c r="AR26" s="8" t="n">
        <x:v>0</x:v>
      </x:c>
      <x:c r="AS26" s="8" t="n">
        <x:v>0</x:v>
      </x:c>
      <x:c r="AT26" s="8" t="n">
        <x:v>0</x:v>
      </x:c>
      <x:c r="AU26" s="8" t="n">
        <x:v>0</x:v>
      </x:c>
      <x:c r="AV26" s="8" t="n">
        <x:v>1</x:v>
      </x:c>
      <x:c r="AW26" s="8" t="n">
        <x:v>1500</x:v>
      </x:c>
      <x:c r="AX26" s="8" t="n">
        <x:v>1500</x:v>
      </x:c>
      <x:c r="AY26" s="8" t="n">
        <x:v>0</x:v>
      </x:c>
      <x:c r="AZ26" s="8" t="n">
        <x:v>0</x:v>
      </x:c>
      <x:c r="BA26" s="8" t="n">
        <x:v>1</x:v>
      </x:c>
      <x:c r="BB26" s="8" t="n">
        <x:v>0</x:v>
      </x:c>
    </x:row>
    <x:row r="27">
      <x:c r="A27" t="n">
        <x:v>26</x:v>
      </x:c>
      <x:c r="B27" s="8" t="n">
        <x:v>12.546</x:v>
      </x:c>
      <x:c r="C27" s="8" t="n">
        <x:v>0</x:v>
      </x:c>
      <x:c r="D27" s="8" t="n">
        <x:v>783</x:v>
      </x:c>
      <x:c r="E27" s="8" t="n">
        <x:v>1</x:v>
      </x:c>
      <x:c r="F27" s="8" t="n">
        <x:v>75</x:v>
      </x:c>
      <x:c r="G27" s="8" t="n">
        <x:v>1</x:v>
      </x:c>
      <x:c r="H27" s="8" t="n">
        <x:v>2.46</x:v>
      </x:c>
      <x:c r="I27" s="8" t="n">
        <x:v>2.97</x:v>
      </x:c>
      <x:c r="J27" s="8" t="n">
        <x:v>-132.38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0</x:v>
      </x:c>
      <x:c r="W27" s="8" t="n">
        <x:v>3632</x:v>
      </x:c>
      <x:c r="X27" s="8" t="n">
        <x:v>2.927</x:v>
      </x:c>
      <x:c r="Y27" s="8" t="n">
        <x:v>136.6</x:v>
      </x:c>
      <x:c r="Z27" s="8" t="n">
        <x:v>3138</x:v>
      </x:c>
      <x:c r="AA27" s="8" t="n">
        <x:v>2.529</x:v>
      </x:c>
      <x:c r="AB27" s="8" t="n">
        <x:v>13.29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0</x:v>
      </x:c>
      <x:c r="AK27" s="8" t="n">
        <x:v>0</x:v>
      </x:c>
      <x:c r="AL27" s="8" t="n">
        <x:v>4095</x:v>
      </x:c>
      <x:c r="AM27" s="8" t="n">
        <x:v>0</x:v>
      </x:c>
      <x:c r="AN27" s="8" t="n">
        <x:v>-100</x:v>
      </x:c>
      <x:c r="AO27" s="8" t="n">
        <x:v>0</x:v>
      </x:c>
      <x:c r="AP27" s="8" t="n">
        <x:v>1500</x:v>
      </x:c>
      <x:c r="AQ27" s="8" t="n">
        <x:v>0</x:v>
      </x:c>
      <x:c r="AR27" s="8" t="n">
        <x:v>0</x:v>
      </x:c>
      <x:c r="AS27" s="8" t="n">
        <x:v>0</x:v>
      </x:c>
      <x:c r="AT27" s="8" t="n">
        <x:v>0</x:v>
      </x:c>
      <x:c r="AU27" s="8" t="n">
        <x:v>0</x:v>
      </x:c>
      <x:c r="AV27" s="8" t="n">
        <x:v>1</x:v>
      </x:c>
      <x:c r="AW27" s="8" t="n">
        <x:v>1500</x:v>
      </x:c>
      <x:c r="AX27" s="8" t="n">
        <x:v>1500</x:v>
      </x:c>
      <x:c r="AY27" s="8" t="n">
        <x:v>0</x:v>
      </x:c>
      <x:c r="AZ27" s="8" t="n">
        <x:v>0</x:v>
      </x:c>
      <x:c r="BA27" s="8" t="n">
        <x:v>1</x:v>
      </x:c>
      <x:c r="BB27" s="8" t="n">
        <x:v>0</x:v>
      </x:c>
    </x:row>
    <x:row r="28">
      <x:c r="A28" t="n">
        <x:v>27</x:v>
      </x:c>
      <x:c r="B28" s="8" t="n">
        <x:v>13.047</x:v>
      </x:c>
      <x:c r="C28" s="8" t="n">
        <x:v>0</x:v>
      </x:c>
      <x:c r="D28" s="8" t="n">
        <x:v>784</x:v>
      </x:c>
      <x:c r="E28" s="8" t="n">
        <x:v>1</x:v>
      </x:c>
      <x:c r="F28" s="8" t="n">
        <x:v>75</x:v>
      </x:c>
      <x:c r="G28" s="8" t="n">
        <x:v>1</x:v>
      </x:c>
      <x:c r="H28" s="8" t="n">
        <x:v>2.48</x:v>
      </x:c>
      <x:c r="I28" s="8" t="n">
        <x:v>2.96</x:v>
      </x:c>
      <x:c r="J28" s="8" t="n">
        <x:v>-132.38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0</x:v>
      </x:c>
      <x:c r="W28" s="8" t="n">
        <x:v>3626</x:v>
      </x:c>
      <x:c r="X28" s="8" t="n">
        <x:v>2.922</x:v>
      </x:c>
      <x:c r="Y28" s="8" t="n">
        <x:v>135.06</x:v>
      </x:c>
      <x:c r="Z28" s="8" t="n">
        <x:v>3128</x:v>
      </x:c>
      <x:c r="AA28" s="8" t="n">
        <x:v>2.521</x:v>
      </x:c>
      <x:c r="AB28" s="8" t="n">
        <x:v>13.25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0</x:v>
      </x:c>
      <x:c r="AK28" s="8" t="n">
        <x:v>0</x:v>
      </x:c>
      <x:c r="AL28" s="8" t="n">
        <x:v>4095</x:v>
      </x:c>
      <x:c r="AM28" s="8" t="n">
        <x:v>0</x:v>
      </x:c>
      <x:c r="AN28" s="8" t="n">
        <x:v>-100</x:v>
      </x:c>
      <x:c r="AO28" s="8" t="n">
        <x:v>0</x:v>
      </x:c>
      <x:c r="AP28" s="8" t="n">
        <x:v>1500</x:v>
      </x:c>
      <x:c r="AQ28" s="8" t="n">
        <x:v>0</x:v>
      </x:c>
      <x:c r="AR28" s="8" t="n">
        <x:v>0</x:v>
      </x:c>
      <x:c r="AS28" s="8" t="n">
        <x:v>0</x:v>
      </x:c>
      <x:c r="AT28" s="8" t="n">
        <x:v>0</x:v>
      </x:c>
      <x:c r="AU28" s="8" t="n">
        <x:v>0</x:v>
      </x:c>
      <x:c r="AV28" s="8" t="n">
        <x:v>1</x:v>
      </x:c>
      <x:c r="AW28" s="8" t="n">
        <x:v>1500</x:v>
      </x:c>
      <x:c r="AX28" s="8" t="n">
        <x:v>1500</x:v>
      </x:c>
      <x:c r="AY28" s="8" t="n">
        <x:v>0</x:v>
      </x:c>
      <x:c r="AZ28" s="8" t="n">
        <x:v>0</x:v>
      </x:c>
      <x:c r="BA28" s="8" t="n">
        <x:v>1</x:v>
      </x:c>
      <x:c r="BB28" s="8" t="n">
        <x:v>0</x:v>
      </x:c>
    </x:row>
    <x:row r="29">
      <x:c r="A29" t="n">
        <x:v>28</x:v>
      </x:c>
      <x:c r="B29" s="8" t="n">
        <x:v>13.547</x:v>
      </x:c>
      <x:c r="C29" s="8" t="n">
        <x:v>0</x:v>
      </x:c>
      <x:c r="D29" s="8" t="n">
        <x:v>784</x:v>
      </x:c>
      <x:c r="E29" s="8" t="n">
        <x:v>1</x:v>
      </x:c>
      <x:c r="F29" s="8" t="n">
        <x:v>75</x:v>
      </x:c>
      <x:c r="G29" s="8" t="n">
        <x:v>1</x:v>
      </x:c>
      <x:c r="H29" s="8" t="n">
        <x:v>2.49</x:v>
      </x:c>
      <x:c r="I29" s="8" t="n">
        <x:v>2.95</x:v>
      </x:c>
      <x:c r="J29" s="8" t="n">
        <x:v>-132.38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  <x:c r="T29" s="8" t="n">
        <x:v>0</x:v>
      </x:c>
      <x:c r="U29" s="8" t="n">
        <x:v>0</x:v>
      </x:c>
      <x:c r="V29" s="8" t="n">
        <x:v>0</x:v>
      </x:c>
      <x:c r="W29" s="8" t="n">
        <x:v>3635</x:v>
      </x:c>
      <x:c r="X29" s="8" t="n">
        <x:v>2.929</x:v>
      </x:c>
      <x:c r="Y29" s="8" t="n">
        <x:v>137.38</x:v>
      </x:c>
      <x:c r="Z29" s="8" t="n">
        <x:v>3131</x:v>
      </x:c>
      <x:c r="AA29" s="8" t="n">
        <x:v>2.523</x:v>
      </x:c>
      <x:c r="AB29" s="8" t="n">
        <x:v>13.26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0</x:v>
      </x:c>
      <x:c r="AK29" s="8" t="n">
        <x:v>0</x:v>
      </x:c>
      <x:c r="AL29" s="8" t="n">
        <x:v>4095</x:v>
      </x:c>
      <x:c r="AM29" s="8" t="n">
        <x:v>0</x:v>
      </x:c>
      <x:c r="AN29" s="8" t="n">
        <x:v>-100</x:v>
      </x:c>
      <x:c r="AO29" s="8" t="n">
        <x:v>0</x:v>
      </x:c>
      <x:c r="AP29" s="8" t="n">
        <x:v>1500</x:v>
      </x:c>
      <x:c r="AQ29" s="8" t="n">
        <x:v>0</x:v>
      </x:c>
      <x:c r="AR29" s="8" t="n">
        <x:v>0</x:v>
      </x:c>
      <x:c r="AS29" s="8" t="n">
        <x:v>0</x:v>
      </x:c>
      <x:c r="AT29" s="8" t="n">
        <x:v>0</x:v>
      </x:c>
      <x:c r="AU29" s="8" t="n">
        <x:v>0</x:v>
      </x:c>
      <x:c r="AV29" s="8" t="n">
        <x:v>1</x:v>
      </x:c>
      <x:c r="AW29" s="8" t="n">
        <x:v>1500</x:v>
      </x:c>
      <x:c r="AX29" s="8" t="n">
        <x:v>1500</x:v>
      </x:c>
      <x:c r="AY29" s="8" t="n">
        <x:v>0</x:v>
      </x:c>
      <x:c r="AZ29" s="8" t="n">
        <x:v>0</x:v>
      </x:c>
      <x:c r="BA29" s="8" t="n">
        <x:v>1</x:v>
      </x:c>
      <x:c r="BB29" s="8" t="n">
        <x:v>0</x:v>
      </x:c>
    </x:row>
    <x:row r="30">
      <x:c r="A30" t="n">
        <x:v>29</x:v>
      </x:c>
      <x:c r="B30" s="8" t="n">
        <x:v>14.048</x:v>
      </x:c>
      <x:c r="C30" s="8" t="n">
        <x:v>0</x:v>
      </x:c>
      <x:c r="D30" s="8" t="n">
        <x:v>785</x:v>
      </x:c>
      <x:c r="E30" s="8" t="n">
        <x:v>1</x:v>
      </x:c>
      <x:c r="F30" s="8" t="n">
        <x:v>75</x:v>
      </x:c>
      <x:c r="G30" s="8" t="n">
        <x:v>1</x:v>
      </x:c>
      <x:c r="H30" s="8" t="n">
        <x:v>2.48</x:v>
      </x:c>
      <x:c r="I30" s="8" t="n">
        <x:v>2.93</x:v>
      </x:c>
      <x:c r="J30" s="8" t="n">
        <x:v>-132.37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0</x:v>
      </x:c>
      <x:c r="W30" s="8" t="n">
        <x:v>3642</x:v>
      </x:c>
      <x:c r="X30" s="8" t="n">
        <x:v>2.935</x:v>
      </x:c>
      <x:c r="Y30" s="8" t="n">
        <x:v>139.18</x:v>
      </x:c>
      <x:c r="Z30" s="8" t="n">
        <x:v>3150</x:v>
      </x:c>
      <x:c r="AA30" s="8" t="n">
        <x:v>2.538</x:v>
      </x:c>
      <x:c r="AB30" s="8" t="n">
        <x:v>13.34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0</x:v>
      </x:c>
      <x:c r="AK30" s="8" t="n">
        <x:v>0</x:v>
      </x:c>
      <x:c r="AL30" s="8" t="n">
        <x:v>4095</x:v>
      </x:c>
      <x:c r="AM30" s="8" t="n">
        <x:v>0</x:v>
      </x:c>
      <x:c r="AN30" s="8" t="n">
        <x:v>-100</x:v>
      </x:c>
      <x:c r="AO30" s="8" t="n">
        <x:v>0</x:v>
      </x:c>
      <x:c r="AP30" s="8" t="n">
        <x:v>1500</x:v>
      </x:c>
      <x:c r="AQ30" s="8" t="n">
        <x:v>0</x:v>
      </x:c>
      <x:c r="AR30" s="8" t="n">
        <x:v>0</x:v>
      </x:c>
      <x:c r="AS30" s="8" t="n">
        <x:v>0</x:v>
      </x:c>
      <x:c r="AT30" s="8" t="n">
        <x:v>0</x:v>
      </x:c>
      <x:c r="AU30" s="8" t="n">
        <x:v>0</x:v>
      </x:c>
      <x:c r="AV30" s="8" t="n">
        <x:v>1</x:v>
      </x:c>
      <x:c r="AW30" s="8" t="n">
        <x:v>1500</x:v>
      </x:c>
      <x:c r="AX30" s="8" t="n">
        <x:v>1500</x:v>
      </x:c>
      <x:c r="AY30" s="8" t="n">
        <x:v>0</x:v>
      </x:c>
      <x:c r="AZ30" s="8" t="n">
        <x:v>0</x:v>
      </x:c>
      <x:c r="BA30" s="8" t="n">
        <x:v>1</x:v>
      </x:c>
      <x:c r="BB30" s="8" t="n">
        <x:v>0</x:v>
      </x:c>
    </x:row>
    <x:row r="31">
      <x:c r="A31" t="n">
        <x:v>30</x:v>
      </x:c>
      <x:c r="B31" s="8" t="n">
        <x:v>14.548</x:v>
      </x:c>
      <x:c r="C31" s="8" t="n">
        <x:v>0</x:v>
      </x:c>
      <x:c r="D31" s="8" t="n">
        <x:v>785</x:v>
      </x:c>
      <x:c r="E31" s="8" t="n">
        <x:v>1</x:v>
      </x:c>
      <x:c r="F31" s="8" t="n">
        <x:v>75</x:v>
      </x:c>
      <x:c r="G31" s="8" t="n">
        <x:v>1</x:v>
      </x:c>
      <x:c r="H31" s="8" t="n">
        <x:v>2.5</x:v>
      </x:c>
      <x:c r="I31" s="8" t="n">
        <x:v>2.94</x:v>
      </x:c>
      <x:c r="J31" s="8" t="n">
        <x:v>-132.37</x:v>
      </x:c>
      <x:c r="K31" s="8" t="n">
        <x:v>0</x:v>
      </x:c>
      <x:c r="L31" s="8" t="n">
        <x:v>0</x:v>
      </x:c>
      <x:c r="M31" s="8" t="n">
        <x:v>0</x:v>
      </x:c>
      <x:c r="N31" s="8" t="n">
        <x:v>0</x:v>
      </x:c>
      <x:c r="O31" s="8" t="n">
        <x:v>0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</x:v>
      </x:c>
      <x:c r="U31" s="8" t="n">
        <x:v>0</x:v>
      </x:c>
      <x:c r="V31" s="8" t="n">
        <x:v>0</x:v>
      </x:c>
      <x:c r="W31" s="8" t="n">
        <x:v>3631</x:v>
      </x:c>
      <x:c r="X31" s="8" t="n">
        <x:v>2.926</x:v>
      </x:c>
      <x:c r="Y31" s="8" t="n">
        <x:v>136.35</x:v>
      </x:c>
      <x:c r="Z31" s="8" t="n">
        <x:v>3136</x:v>
      </x:c>
      <x:c r="AA31" s="8" t="n">
        <x:v>2.527</x:v>
      </x:c>
      <x:c r="AB31" s="8" t="n">
        <x:v>13.28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0</x:v>
      </x:c>
      <x:c r="AK31" s="8" t="n">
        <x:v>0</x:v>
      </x:c>
      <x:c r="AL31" s="8" t="n">
        <x:v>4095</x:v>
      </x:c>
      <x:c r="AM31" s="8" t="n">
        <x:v>0</x:v>
      </x:c>
      <x:c r="AN31" s="8" t="n">
        <x:v>-100</x:v>
      </x:c>
      <x:c r="AO31" s="8" t="n">
        <x:v>0</x:v>
      </x:c>
      <x:c r="AP31" s="8" t="n">
        <x:v>1500</x:v>
      </x:c>
      <x:c r="AQ31" s="8" t="n">
        <x:v>0</x:v>
      </x:c>
      <x:c r="AR31" s="8" t="n">
        <x:v>0</x:v>
      </x:c>
      <x:c r="AS31" s="8" t="n">
        <x:v>0</x:v>
      </x:c>
      <x:c r="AT31" s="8" t="n">
        <x:v>0</x:v>
      </x:c>
      <x:c r="AU31" s="8" t="n">
        <x:v>0</x:v>
      </x:c>
      <x:c r="AV31" s="8" t="n">
        <x:v>1</x:v>
      </x:c>
      <x:c r="AW31" s="8" t="n">
        <x:v>1500</x:v>
      </x:c>
      <x:c r="AX31" s="8" t="n">
        <x:v>1500</x:v>
      </x:c>
      <x:c r="AY31" s="8" t="n">
        <x:v>0</x:v>
      </x:c>
      <x:c r="AZ31" s="8" t="n">
        <x:v>0</x:v>
      </x:c>
      <x:c r="BA31" s="8" t="n">
        <x:v>1</x:v>
      </x:c>
      <x:c r="BB31" s="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4" customHeight="1">
      <x:c r="A1" s="4" t="str">
        <x:v>Tiempo (s)</x:v>
      </x:c>
      <x:c r="B1" s="4" t="str">
        <x:v>Roll (°)</x:v>
      </x:c>
      <x:c r="C1" s="4" t="str">
        <x:v>Pitch (°)</x:v>
      </x:c>
      <x:c r="D1" s="4" t="str">
        <x:v>Yaw (°)</x:v>
      </x:c>
      <x:c r="E1" s="4" t="str">
        <x:v>Batería (V)</x:v>
      </x:c>
      <x:c r="F1" s="4" t="str">
        <x:v>Corriente calculada (A)</x:v>
      </x:c>
      <x:c r="G1" s="4" t="str">
        <x:v>main_alive</x:v>
      </x:c>
    </x:row>
    <x:row r="2">
      <x:c r="A2" s="30" t="n">
        <x:v>0.03</x:v>
      </x:c>
      <x:c r="B2" s="30" t="n">
        <x:v>2.53</x:v>
      </x:c>
      <x:c r="C2" s="30" t="n">
        <x:v>2.92</x:v>
      </x:c>
      <x:c r="D2" s="30" t="n">
        <x:v>-132.36</x:v>
      </x:c>
      <x:c r="E2" s="30" t="n">
        <x:v>13.34</x:v>
      </x:c>
      <x:c r="F2" s="30" t="n">
        <x:v>138.41</x:v>
      </x:c>
      <x:c r="G2" t="n">
        <x:v>771</x:v>
      </x:c>
    </x:row>
    <x:row r="3">
      <x:c r="A3" s="30" t="n">
        <x:v>0.54</x:v>
      </x:c>
      <x:c r="B3" s="30" t="n">
        <x:v>2.52</x:v>
      </x:c>
      <x:c r="C3" s="30" t="n">
        <x:v>2.92</x:v>
      </x:c>
      <x:c r="D3" s="30" t="n">
        <x:v>-132.36</x:v>
      </x:c>
      <x:c r="E3" s="30" t="n">
        <x:v>13.28</x:v>
      </x:c>
      <x:c r="F3" s="30" t="n">
        <x:v>136.09</x:v>
      </x:c>
      <x:c r="G3" t="n">
        <x:v>771</x:v>
      </x:c>
    </x:row>
    <x:row r="4">
      <x:c r="A4" s="30" t="n">
        <x:v>1.04</x:v>
      </x:c>
      <x:c r="B4" s="30" t="n">
        <x:v>2.53</x:v>
      </x:c>
      <x:c r="C4" s="30" t="n">
        <x:v>2.94</x:v>
      </x:c>
      <x:c r="D4" s="30" t="n">
        <x:v>-132.36</x:v>
      </x:c>
      <x:c r="E4" s="30" t="n">
        <x:v>13.31</x:v>
      </x:c>
      <x:c r="F4" s="30" t="n">
        <x:v>134.8</x:v>
      </x:c>
      <x:c r="G4" t="n">
        <x:v>772</x:v>
      </x:c>
    </x:row>
    <x:row r="5">
      <x:c r="A5" s="30" t="n">
        <x:v>1.54</x:v>
      </x:c>
      <x:c r="B5" s="30" t="n">
        <x:v>2.53</x:v>
      </x:c>
      <x:c r="C5" s="30" t="n">
        <x:v>2.93</x:v>
      </x:c>
      <x:c r="D5" s="30" t="n">
        <x:v>-132.36</x:v>
      </x:c>
      <x:c r="E5" s="30" t="n">
        <x:v>13.35</x:v>
      </x:c>
      <x:c r="F5" s="30" t="n">
        <x:v>138.15</x:v>
      </x:c>
      <x:c r="G5" t="n">
        <x:v>772</x:v>
      </x:c>
    </x:row>
    <x:row r="6">
      <x:c r="A6" s="30" t="n">
        <x:v>2.04</x:v>
      </x:c>
      <x:c r="B6" s="30" t="n">
        <x:v>2.53</x:v>
      </x:c>
      <x:c r="C6" s="30" t="n">
        <x:v>2.93</x:v>
      </x:c>
      <x:c r="D6" s="30" t="n">
        <x:v>-132.36</x:v>
      </x:c>
      <x:c r="E6" s="30" t="n">
        <x:v>13.3</x:v>
      </x:c>
      <x:c r="F6" s="30" t="n">
        <x:v>135.31</x:v>
      </x:c>
      <x:c r="G6" t="n">
        <x:v>773</x:v>
      </x:c>
    </x:row>
    <x:row r="7">
      <x:c r="A7" s="30" t="n">
        <x:v>2.54</x:v>
      </x:c>
      <x:c r="B7" s="30" t="n">
        <x:v>2.53</x:v>
      </x:c>
      <x:c r="C7" s="30" t="n">
        <x:v>2.92</x:v>
      </x:c>
      <x:c r="D7" s="30" t="n">
        <x:v>-132.36</x:v>
      </x:c>
      <x:c r="E7" s="30" t="n">
        <x:v>13.28</x:v>
      </x:c>
      <x:c r="F7" s="30" t="n">
        <x:v>135.31</x:v>
      </x:c>
      <x:c r="G7" t="n">
        <x:v>773</x:v>
      </x:c>
    </x:row>
    <x:row r="8">
      <x:c r="A8" s="30" t="n">
        <x:v>3.04</x:v>
      </x:c>
      <x:c r="B8" s="30" t="n">
        <x:v>2.52</x:v>
      </x:c>
      <x:c r="C8" s="30" t="n">
        <x:v>2.93</x:v>
      </x:c>
      <x:c r="D8" s="30" t="n">
        <x:v>-132.35</x:v>
      </x:c>
      <x:c r="E8" s="30" t="n">
        <x:v>13.29</x:v>
      </x:c>
      <x:c r="F8" s="30" t="n">
        <x:v>135.57</x:v>
      </x:c>
      <x:c r="G8" t="n">
        <x:v>774</x:v>
      </x:c>
    </x:row>
    <x:row r="9">
      <x:c r="A9" s="30" t="n">
        <x:v>3.54</x:v>
      </x:c>
      <x:c r="B9" s="30" t="n">
        <x:v>2.5</x:v>
      </x:c>
      <x:c r="C9" s="30" t="n">
        <x:v>2.96</x:v>
      </x:c>
      <x:c r="D9" s="30" t="n">
        <x:v>-132.35</x:v>
      </x:c>
      <x:c r="E9" s="30" t="n">
        <x:v>13.29</x:v>
      </x:c>
      <x:c r="F9" s="30" t="n">
        <x:v>135.57</x:v>
      </x:c>
      <x:c r="G9" t="n">
        <x:v>774</x:v>
      </x:c>
    </x:row>
    <x:row r="10">
      <x:c r="A10" s="30" t="n">
        <x:v>4.04</x:v>
      </x:c>
      <x:c r="B10" s="30" t="n">
        <x:v>2.5</x:v>
      </x:c>
      <x:c r="C10" s="30" t="n">
        <x:v>2.97</x:v>
      </x:c>
      <x:c r="D10" s="30" t="n">
        <x:v>-132.35</x:v>
      </x:c>
      <x:c r="E10" s="30" t="n">
        <x:v>13.24</x:v>
      </x:c>
      <x:c r="F10" s="30" t="n">
        <x:v>135.31</x:v>
      </x:c>
      <x:c r="G10" t="n">
        <x:v>775</x:v>
      </x:c>
    </x:row>
    <x:row r="11">
      <x:c r="A11" s="30" t="n">
        <x:v>4.54</x:v>
      </x:c>
      <x:c r="B11" s="30" t="n">
        <x:v>2.51</x:v>
      </x:c>
      <x:c r="C11" s="30" t="n">
        <x:v>2.95</x:v>
      </x:c>
      <x:c r="D11" s="30" t="n">
        <x:v>-132.35</x:v>
      </x:c>
      <x:c r="E11" s="30" t="n">
        <x:v>13.32</x:v>
      </x:c>
      <x:c r="F11" s="30" t="n">
        <x:v>136.86</x:v>
      </x:c>
      <x:c r="G11" t="n">
        <x:v>775</x:v>
      </x:c>
    </x:row>
    <x:row r="12">
      <x:c r="A12" s="30" t="n">
        <x:v>5.04</x:v>
      </x:c>
      <x:c r="B12" s="30" t="n">
        <x:v>2.49</x:v>
      </x:c>
      <x:c r="C12" s="30" t="n">
        <x:v>2.93</x:v>
      </x:c>
      <x:c r="D12" s="30" t="n">
        <x:v>-132.35</x:v>
      </x:c>
      <x:c r="E12" s="30" t="n">
        <x:v>13.21</x:v>
      </x:c>
      <x:c r="F12" s="30" t="n">
        <x:v>133.51</x:v>
      </x:c>
      <x:c r="G12" t="n">
        <x:v>776</x:v>
      </x:c>
    </x:row>
    <x:row r="13">
      <x:c r="A13" s="30" t="n">
        <x:v>5.54</x:v>
      </x:c>
      <x:c r="B13" s="30" t="n">
        <x:v>2.51</x:v>
      </x:c>
      <x:c r="C13" s="30" t="n">
        <x:v>2.95</x:v>
      </x:c>
      <x:c r="D13" s="30" t="n">
        <x:v>-132.37</x:v>
      </x:c>
      <x:c r="E13" s="30" t="n">
        <x:v>13.28</x:v>
      </x:c>
      <x:c r="F13" s="30" t="n">
        <x:v>135.83</x:v>
      </x:c>
      <x:c r="G13" t="n">
        <x:v>776</x:v>
      </x:c>
    </x:row>
    <x:row r="14">
      <x:c r="A14" s="30" t="n">
        <x:v>6.04</x:v>
      </x:c>
      <x:c r="B14" s="30" t="n">
        <x:v>2.5</x:v>
      </x:c>
      <x:c r="C14" s="30" t="n">
        <x:v>2.95</x:v>
      </x:c>
      <x:c r="D14" s="30" t="n">
        <x:v>-132.37</x:v>
      </x:c>
      <x:c r="E14" s="30" t="n">
        <x:v>13.34</x:v>
      </x:c>
      <x:c r="F14" s="30" t="n">
        <x:v>137.64</x:v>
      </x:c>
      <x:c r="G14" t="n">
        <x:v>777</x:v>
      </x:c>
    </x:row>
    <x:row r="15">
      <x:c r="A15" s="30" t="n">
        <x:v>6.54</x:v>
      </x:c>
      <x:c r="B15" s="30" t="n">
        <x:v>2.48</x:v>
      </x:c>
      <x:c r="C15" s="30" t="n">
        <x:v>2.94</x:v>
      </x:c>
      <x:c r="D15" s="30" t="n">
        <x:v>-132.36</x:v>
      </x:c>
      <x:c r="E15" s="30" t="n">
        <x:v>13.23</x:v>
      </x:c>
      <x:c r="F15" s="30" t="n">
        <x:v>135.06</x:v>
      </x:c>
      <x:c r="G15" t="n">
        <x:v>777</x:v>
      </x:c>
    </x:row>
    <x:row r="16">
      <x:c r="A16" s="30" t="n">
        <x:v>7.04</x:v>
      </x:c>
      <x:c r="B16" s="30" t="n">
        <x:v>2.47</x:v>
      </x:c>
      <x:c r="C16" s="30" t="n">
        <x:v>2.96</x:v>
      </x:c>
      <x:c r="D16" s="30" t="n">
        <x:v>-132.36</x:v>
      </x:c>
      <x:c r="E16" s="30" t="n">
        <x:v>13.23</x:v>
      </x:c>
      <x:c r="F16" s="30" t="n">
        <x:v>135.83</x:v>
      </x:c>
      <x:c r="G16" t="n">
        <x:v>778</x:v>
      </x:c>
    </x:row>
    <x:row r="17">
      <x:c r="A17" s="30" t="n">
        <x:v>7.54</x:v>
      </x:c>
      <x:c r="B17" s="30" t="n">
        <x:v>2.46</x:v>
      </x:c>
      <x:c r="C17" s="30" t="n">
        <x:v>2.97</x:v>
      </x:c>
      <x:c r="D17" s="30" t="n">
        <x:v>-132.37</x:v>
      </x:c>
      <x:c r="E17" s="30" t="n">
        <x:v>13.28</x:v>
      </x:c>
      <x:c r="F17" s="30" t="n">
        <x:v>136.09</x:v>
      </x:c>
      <x:c r="G17" t="n">
        <x:v>778</x:v>
      </x:c>
    </x:row>
    <x:row r="18">
      <x:c r="A18" s="30" t="n">
        <x:v>8.04</x:v>
      </x:c>
      <x:c r="B18" s="30" t="n">
        <x:v>2.48</x:v>
      </x:c>
      <x:c r="C18" s="30" t="n">
        <x:v>2.98</x:v>
      </x:c>
      <x:c r="D18" s="30" t="n">
        <x:v>-132.37</x:v>
      </x:c>
      <x:c r="E18" s="30" t="n">
        <x:v>13.34</x:v>
      </x:c>
      <x:c r="F18" s="30" t="n">
        <x:v>138.92</x:v>
      </x:c>
      <x:c r="G18" t="n">
        <x:v>779</x:v>
      </x:c>
    </x:row>
    <x:row r="19">
      <x:c r="A19" s="30" t="n">
        <x:v>8.54</x:v>
      </x:c>
      <x:c r="B19" s="30" t="n">
        <x:v>2.48</x:v>
      </x:c>
      <x:c r="C19" s="30" t="n">
        <x:v>2.99</x:v>
      </x:c>
      <x:c r="D19" s="30" t="n">
        <x:v>-132.37</x:v>
      </x:c>
      <x:c r="E19" s="30" t="n">
        <x:v>13.28</x:v>
      </x:c>
      <x:c r="F19" s="30" t="n">
        <x:v>136.35</x:v>
      </x:c>
      <x:c r="G19" t="n">
        <x:v>779</x:v>
      </x:c>
    </x:row>
    <x:row r="20">
      <x:c r="A20" s="30" t="n">
        <x:v>9.04</x:v>
      </x:c>
      <x:c r="B20" s="30" t="n">
        <x:v>2.49</x:v>
      </x:c>
      <x:c r="C20" s="30" t="n">
        <x:v>2.99</x:v>
      </x:c>
      <x:c r="D20" s="30" t="n">
        <x:v>-132.37</x:v>
      </x:c>
      <x:c r="E20" s="30" t="n">
        <x:v>13.29</x:v>
      </x:c>
      <x:c r="F20" s="30" t="n">
        <x:v>136.35</x:v>
      </x:c>
      <x:c r="G20" t="n">
        <x:v>780</x:v>
      </x:c>
    </x:row>
    <x:row r="21">
      <x:c r="A21" s="30" t="n">
        <x:v>9.54</x:v>
      </x:c>
      <x:c r="B21" s="30" t="n">
        <x:v>2.49</x:v>
      </x:c>
      <x:c r="C21" s="30" t="n">
        <x:v>3</x:v>
      </x:c>
      <x:c r="D21" s="30" t="n">
        <x:v>-132.37</x:v>
      </x:c>
      <x:c r="E21" s="30" t="n">
        <x:v>13.29</x:v>
      </x:c>
      <x:c r="F21" s="30" t="n">
        <x:v>136.35</x:v>
      </x:c>
      <x:c r="G21" t="n">
        <x:v>780</x:v>
      </x:c>
    </x:row>
    <x:row r="22">
      <x:c r="A22" s="30" t="n">
        <x:v>10.04</x:v>
      </x:c>
      <x:c r="B22" s="30" t="n">
        <x:v>2.49</x:v>
      </x:c>
      <x:c r="C22" s="30" t="n">
        <x:v>3</x:v>
      </x:c>
      <x:c r="D22" s="30" t="n">
        <x:v>-132.37</x:v>
      </x:c>
      <x:c r="E22" s="30" t="n">
        <x:v>13.29</x:v>
      </x:c>
      <x:c r="F22" s="30" t="n">
        <x:v>136.6</x:v>
      </x:c>
      <x:c r="G22" t="n">
        <x:v>781</x:v>
      </x:c>
    </x:row>
    <x:row r="23">
      <x:c r="A23" s="30" t="n">
        <x:v>10.54</x:v>
      </x:c>
      <x:c r="B23" s="30" t="n">
        <x:v>2.49</x:v>
      </x:c>
      <x:c r="C23" s="30" t="n">
        <x:v>3</x:v>
      </x:c>
      <x:c r="D23" s="30" t="n">
        <x:v>-132.37</x:v>
      </x:c>
      <x:c r="E23" s="30" t="n">
        <x:v>13.23</x:v>
      </x:c>
      <x:c r="F23" s="30" t="n">
        <x:v>135.57</x:v>
      </x:c>
      <x:c r="G23" t="n">
        <x:v>781</x:v>
      </x:c>
    </x:row>
    <x:row r="24">
      <x:c r="A24" s="30" t="n">
        <x:v>11.05</x:v>
      </x:c>
      <x:c r="B24" s="30" t="n">
        <x:v>2.49</x:v>
      </x:c>
      <x:c r="C24" s="30" t="n">
        <x:v>3</x:v>
      </x:c>
      <x:c r="D24" s="30" t="n">
        <x:v>-132.37</x:v>
      </x:c>
      <x:c r="E24" s="30" t="n">
        <x:v>13.32</x:v>
      </x:c>
      <x:c r="F24" s="30" t="n">
        <x:v>137.38</x:v>
      </x:c>
      <x:c r="G24" t="n">
        <x:v>782</x:v>
      </x:c>
    </x:row>
    <x:row r="25">
      <x:c r="A25" s="30" t="n">
        <x:v>11.55</x:v>
      </x:c>
      <x:c r="B25" s="30" t="n">
        <x:v>2.49</x:v>
      </x:c>
      <x:c r="C25" s="30" t="n">
        <x:v>3</x:v>
      </x:c>
      <x:c r="D25" s="30" t="n">
        <x:v>-132.37</x:v>
      </x:c>
      <x:c r="E25" s="30" t="n">
        <x:v>13.28</x:v>
      </x:c>
      <x:c r="F25" s="30" t="n">
        <x:v>137.38</x:v>
      </x:c>
      <x:c r="G25" t="n">
        <x:v>782</x:v>
      </x:c>
    </x:row>
    <x:row r="26">
      <x:c r="A26" s="30" t="n">
        <x:v>12.05</x:v>
      </x:c>
      <x:c r="B26" s="30" t="n">
        <x:v>2.46</x:v>
      </x:c>
      <x:c r="C26" s="30" t="n">
        <x:v>2.98</x:v>
      </x:c>
      <x:c r="D26" s="30" t="n">
        <x:v>-132.37</x:v>
      </x:c>
      <x:c r="E26" s="30" t="n">
        <x:v>13.29</x:v>
      </x:c>
      <x:c r="F26" s="30" t="n">
        <x:v>136.86</x:v>
      </x:c>
      <x:c r="G26" t="n">
        <x:v>783</x:v>
      </x:c>
    </x:row>
    <x:row r="27">
      <x:c r="A27" s="30" t="n">
        <x:v>12.55</x:v>
      </x:c>
      <x:c r="B27" s="30" t="n">
        <x:v>2.46</x:v>
      </x:c>
      <x:c r="C27" s="30" t="n">
        <x:v>2.97</x:v>
      </x:c>
      <x:c r="D27" s="30" t="n">
        <x:v>-132.38</x:v>
      </x:c>
      <x:c r="E27" s="30" t="n">
        <x:v>13.29</x:v>
      </x:c>
      <x:c r="F27" s="30" t="n">
        <x:v>136.6</x:v>
      </x:c>
      <x:c r="G27" t="n">
        <x:v>783</x:v>
      </x:c>
    </x:row>
    <x:row r="28">
      <x:c r="A28" s="30" t="n">
        <x:v>13.05</x:v>
      </x:c>
      <x:c r="B28" s="30" t="n">
        <x:v>2.48</x:v>
      </x:c>
      <x:c r="C28" s="30" t="n">
        <x:v>2.96</x:v>
      </x:c>
      <x:c r="D28" s="30" t="n">
        <x:v>-132.38</x:v>
      </x:c>
      <x:c r="E28" s="30" t="n">
        <x:v>13.25</x:v>
      </x:c>
      <x:c r="F28" s="30" t="n">
        <x:v>135.06</x:v>
      </x:c>
      <x:c r="G28" t="n">
        <x:v>784</x:v>
      </x:c>
    </x:row>
    <x:row r="29">
      <x:c r="A29" s="30" t="n">
        <x:v>13.55</x:v>
      </x:c>
      <x:c r="B29" s="30" t="n">
        <x:v>2.49</x:v>
      </x:c>
      <x:c r="C29" s="30" t="n">
        <x:v>2.95</x:v>
      </x:c>
      <x:c r="D29" s="30" t="n">
        <x:v>-132.38</x:v>
      </x:c>
      <x:c r="E29" s="30" t="n">
        <x:v>13.26</x:v>
      </x:c>
      <x:c r="F29" s="30" t="n">
        <x:v>137.38</x:v>
      </x:c>
      <x:c r="G29" t="n">
        <x:v>784</x:v>
      </x:c>
    </x:row>
    <x:row r="30">
      <x:c r="A30" s="30" t="n">
        <x:v>14.05</x:v>
      </x:c>
      <x:c r="B30" s="30" t="n">
        <x:v>2.48</x:v>
      </x:c>
      <x:c r="C30" s="30" t="n">
        <x:v>2.93</x:v>
      </x:c>
      <x:c r="D30" s="30" t="n">
        <x:v>-132.37</x:v>
      </x:c>
      <x:c r="E30" s="30" t="n">
        <x:v>13.34</x:v>
      </x:c>
      <x:c r="F30" s="30" t="n">
        <x:v>139.18</x:v>
      </x:c>
      <x:c r="G30" t="n">
        <x:v>785</x:v>
      </x:c>
    </x:row>
    <x:row r="31">
      <x:c r="A31" s="30" t="n">
        <x:v>14.55</x:v>
      </x:c>
      <x:c r="B31" s="30" t="n">
        <x:v>2.5</x:v>
      </x:c>
      <x:c r="C31" s="30" t="n">
        <x:v>2.94</x:v>
      </x:c>
      <x:c r="D31" s="30" t="n">
        <x:v>-132.37</x:v>
      </x:c>
      <x:c r="E31" s="30" t="n">
        <x:v>13.28</x:v>
      </x:c>
      <x:c r="F31" s="30" t="n">
        <x:v>136.35</x:v>
      </x:c>
      <x:c r="G31" t="n">
        <x:v>785</x:v>
      </x:c>
    </x:row>
  </x:sheetData>
  <x:pageMargins left="0.7" right="0.7" top="0.75" bottom="0.75" header="0.3" footer="0.3"/>
  <x:drawing xmlns:r="http://schemas.openxmlformats.org/officeDocument/2006/relationships" r:id="R21fce90399314817"/>
</x:worksheet>
</file>